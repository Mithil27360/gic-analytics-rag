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shara\OneDrive\Desktop\"/>
    </mc:Choice>
  </mc:AlternateContent>
  <xr:revisionPtr revIDLastSave="0" documentId="13_ncr:1_{C666C970-3C33-42CF-9180-5C213D0E9232}" xr6:coauthVersionLast="47" xr6:coauthVersionMax="47" xr10:uidLastSave="{00000000-0000-0000-0000-000000000000}"/>
  <bookViews>
    <workbookView xWindow="-108" yWindow="-108" windowWidth="23256" windowHeight="13896" activeTab="3" xr2:uid="{00000000-000D-0000-FFFF-FFFF00000000}"/>
  </bookViews>
  <sheets>
    <sheet name="Health Portfolio" sheetId="1" r:id="rId1"/>
    <sheet name="Liability Portfolio" sheetId="2" r:id="rId2"/>
    <sheet name="Miscellaneous portfolio" sheetId="3" r:id="rId3"/>
    <sheet name="Segmentwise Report"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76" i="1" l="1"/>
  <c r="H73" i="1"/>
  <c r="H71" i="1"/>
  <c r="H69" i="1"/>
  <c r="H67" i="1"/>
  <c r="H65" i="1"/>
  <c r="H63" i="1"/>
  <c r="H61" i="1"/>
  <c r="H59" i="1"/>
  <c r="H55" i="1"/>
  <c r="H53" i="1"/>
  <c r="H51" i="1"/>
  <c r="H49" i="1"/>
  <c r="H47" i="1"/>
  <c r="H45" i="1"/>
  <c r="H43" i="1"/>
  <c r="H41" i="1"/>
  <c r="H39" i="1"/>
  <c r="H37" i="1"/>
  <c r="H35" i="1"/>
  <c r="H33" i="1"/>
  <c r="H29" i="1"/>
  <c r="H27" i="1"/>
  <c r="H25" i="1"/>
  <c r="H23" i="1"/>
  <c r="H19" i="1"/>
  <c r="H17" i="1"/>
  <c r="H15" i="1"/>
  <c r="H13" i="1"/>
  <c r="H11" i="1"/>
  <c r="H9" i="1"/>
  <c r="H7" i="1"/>
  <c r="H5" i="1"/>
  <c r="G76" i="1"/>
  <c r="G73" i="1"/>
  <c r="G71" i="1"/>
  <c r="G67" i="1"/>
  <c r="G63" i="1"/>
  <c r="G61" i="1"/>
  <c r="G59" i="1"/>
  <c r="G55" i="1"/>
  <c r="G53" i="1"/>
  <c r="G51" i="1"/>
  <c r="G49" i="1"/>
  <c r="G47" i="1"/>
  <c r="G45" i="1"/>
  <c r="G43" i="1"/>
  <c r="G41" i="1"/>
  <c r="G39" i="1"/>
  <c r="G37" i="1"/>
  <c r="G35" i="1"/>
  <c r="G33" i="1"/>
  <c r="G31" i="1"/>
  <c r="G29" i="1"/>
  <c r="G27" i="1"/>
  <c r="G25" i="1"/>
  <c r="G23" i="1"/>
  <c r="G19" i="1"/>
  <c r="G17" i="1"/>
  <c r="G15" i="1"/>
  <c r="G13" i="1"/>
  <c r="G11" i="1"/>
  <c r="G9" i="1"/>
  <c r="G7" i="1"/>
  <c r="G5" i="1"/>
  <c r="F80" i="1"/>
  <c r="E80" i="1"/>
  <c r="D80" i="1"/>
  <c r="C80" i="1"/>
  <c r="B80" i="1"/>
  <c r="F79" i="1"/>
  <c r="E79" i="1"/>
  <c r="D79" i="1"/>
  <c r="C79" i="1"/>
  <c r="B79" i="1"/>
  <c r="F78" i="1"/>
  <c r="E78" i="1"/>
  <c r="D78" i="1"/>
  <c r="C78" i="1"/>
  <c r="B78" i="1"/>
  <c r="F77" i="1"/>
  <c r="E77" i="1"/>
  <c r="D77" i="1"/>
  <c r="C77" i="1"/>
  <c r="B77" i="1"/>
  <c r="I76" i="1"/>
  <c r="F76" i="1"/>
  <c r="E76" i="1"/>
  <c r="D76" i="1"/>
  <c r="C76" i="1"/>
  <c r="B76" i="1"/>
  <c r="F75" i="1"/>
  <c r="E75" i="1"/>
  <c r="C75" i="1"/>
  <c r="B75" i="1"/>
  <c r="F74" i="1"/>
  <c r="E74" i="1"/>
  <c r="C74" i="1"/>
  <c r="B74" i="1"/>
  <c r="I73" i="1"/>
  <c r="F73" i="1"/>
  <c r="E73" i="1"/>
  <c r="C73" i="1"/>
  <c r="B73" i="1"/>
  <c r="F57" i="1"/>
  <c r="E57" i="1"/>
  <c r="D57" i="1"/>
  <c r="C57" i="1"/>
  <c r="B57" i="1"/>
  <c r="F56" i="1"/>
  <c r="E56" i="1"/>
  <c r="D56" i="1"/>
  <c r="C56" i="1"/>
  <c r="B56" i="1"/>
  <c r="I55" i="1"/>
  <c r="F55" i="1"/>
  <c r="E55" i="1"/>
  <c r="D55" i="1"/>
  <c r="C55" i="1"/>
  <c r="B55" i="1"/>
  <c r="N83" i="4" l="1"/>
  <c r="C83" i="4"/>
  <c r="B83" i="4"/>
  <c r="O81" i="4"/>
  <c r="N81" i="4"/>
  <c r="R80" i="4"/>
  <c r="O80" i="4"/>
  <c r="O82" i="4" s="1"/>
  <c r="N80" i="4"/>
  <c r="N82" i="4" s="1"/>
  <c r="P78" i="4"/>
  <c r="P76" i="4"/>
  <c r="O73" i="4"/>
  <c r="N73" i="4"/>
  <c r="N74" i="4" s="1"/>
  <c r="M73" i="4"/>
  <c r="M74" i="4" s="1"/>
  <c r="J73" i="4"/>
  <c r="J74" i="4" s="1"/>
  <c r="R72" i="4"/>
  <c r="P72" i="4"/>
  <c r="O72" i="4"/>
  <c r="O74" i="4" s="1"/>
  <c r="N72" i="4"/>
  <c r="M72" i="4"/>
  <c r="J72" i="4"/>
  <c r="P70" i="4"/>
  <c r="P66" i="4"/>
  <c r="P62" i="4"/>
  <c r="P60" i="4"/>
  <c r="P58" i="4"/>
  <c r="I56" i="4"/>
  <c r="H56" i="4"/>
  <c r="O55" i="4"/>
  <c r="O84" i="4" s="1"/>
  <c r="O87" i="4" s="1"/>
  <c r="N55" i="4"/>
  <c r="N56" i="4" s="1"/>
  <c r="M55" i="4"/>
  <c r="M56" i="4" s="1"/>
  <c r="L55" i="4"/>
  <c r="K55" i="4"/>
  <c r="K56" i="4" s="1"/>
  <c r="J55" i="4"/>
  <c r="J56" i="4" s="1"/>
  <c r="I55" i="4"/>
  <c r="I84" i="4" s="1"/>
  <c r="I87" i="4" s="1"/>
  <c r="H55" i="4"/>
  <c r="H84" i="4" s="1"/>
  <c r="H87" i="4" s="1"/>
  <c r="G55" i="4"/>
  <c r="G84" i="4" s="1"/>
  <c r="G87" i="4" s="1"/>
  <c r="F55" i="4"/>
  <c r="F84" i="4" s="1"/>
  <c r="F87" i="4" s="1"/>
  <c r="E55" i="4"/>
  <c r="E84" i="4" s="1"/>
  <c r="D55" i="4"/>
  <c r="D84" i="4" s="1"/>
  <c r="D87" i="4" s="1"/>
  <c r="C55" i="4"/>
  <c r="C84" i="4" s="1"/>
  <c r="C87" i="4" s="1"/>
  <c r="B55" i="4"/>
  <c r="B56" i="4" s="1"/>
  <c r="R54" i="4"/>
  <c r="O54" i="4"/>
  <c r="O56" i="4" s="1"/>
  <c r="N54" i="4"/>
  <c r="M54" i="4"/>
  <c r="M83" i="4" s="1"/>
  <c r="L54" i="4"/>
  <c r="L83" i="4" s="1"/>
  <c r="K54" i="4"/>
  <c r="K83" i="4" s="1"/>
  <c r="J54" i="4"/>
  <c r="J83" i="4" s="1"/>
  <c r="I54" i="4"/>
  <c r="I83" i="4" s="1"/>
  <c r="I85" i="4" s="1"/>
  <c r="H54" i="4"/>
  <c r="H83" i="4" s="1"/>
  <c r="H85" i="4" s="1"/>
  <c r="G54" i="4"/>
  <c r="G56" i="4" s="1"/>
  <c r="F54" i="4"/>
  <c r="F56" i="4" s="1"/>
  <c r="E54" i="4"/>
  <c r="D54" i="4"/>
  <c r="C54" i="4"/>
  <c r="C56" i="4" s="1"/>
  <c r="B54" i="4"/>
  <c r="P52" i="4"/>
  <c r="P50" i="4"/>
  <c r="P48" i="4"/>
  <c r="P46" i="4"/>
  <c r="P44" i="4"/>
  <c r="P42" i="4"/>
  <c r="P40" i="4"/>
  <c r="P38" i="4"/>
  <c r="P36" i="4"/>
  <c r="P34" i="4"/>
  <c r="P32" i="4"/>
  <c r="P30" i="4"/>
  <c r="P28" i="4"/>
  <c r="P26" i="4"/>
  <c r="P24" i="4"/>
  <c r="P22" i="4"/>
  <c r="P20" i="4"/>
  <c r="P18" i="4"/>
  <c r="P16" i="4"/>
  <c r="P14" i="4"/>
  <c r="P12" i="4"/>
  <c r="P10" i="4"/>
  <c r="P8" i="4"/>
  <c r="P6" i="4"/>
  <c r="P4" i="4"/>
  <c r="F62" i="3"/>
  <c r="F60" i="3"/>
  <c r="F58" i="3"/>
  <c r="F52" i="3"/>
  <c r="F50" i="3"/>
  <c r="F48" i="3"/>
  <c r="F46" i="3"/>
  <c r="F44" i="3"/>
  <c r="F42" i="3"/>
  <c r="F40" i="3"/>
  <c r="F38" i="3"/>
  <c r="F36" i="3"/>
  <c r="F34" i="3"/>
  <c r="F32" i="3"/>
  <c r="F26" i="3"/>
  <c r="F24" i="3"/>
  <c r="F22" i="3"/>
  <c r="F20" i="3"/>
  <c r="F18" i="3"/>
  <c r="F16" i="3"/>
  <c r="F14" i="3"/>
  <c r="F12" i="3"/>
  <c r="F10" i="3"/>
  <c r="F8" i="3"/>
  <c r="F6" i="3"/>
  <c r="F4" i="3"/>
  <c r="C65" i="3"/>
  <c r="B65" i="3"/>
  <c r="E64" i="3"/>
  <c r="D64" i="3"/>
  <c r="C64" i="3"/>
  <c r="B64" i="3"/>
  <c r="E63" i="3"/>
  <c r="D63" i="3"/>
  <c r="C63" i="3"/>
  <c r="B63" i="3"/>
  <c r="H62" i="3"/>
  <c r="E62" i="3"/>
  <c r="D62" i="3"/>
  <c r="C62" i="3"/>
  <c r="B62" i="3"/>
  <c r="E55" i="3"/>
  <c r="E66" i="3" s="1"/>
  <c r="E69" i="3" s="1"/>
  <c r="D55" i="3"/>
  <c r="D66" i="3" s="1"/>
  <c r="D69" i="3" s="1"/>
  <c r="C55" i="3"/>
  <c r="C66" i="3" s="1"/>
  <c r="C69" i="3" s="1"/>
  <c r="B55" i="3"/>
  <c r="B66" i="3" s="1"/>
  <c r="B69" i="3" s="1"/>
  <c r="H54" i="3"/>
  <c r="H65" i="3" s="1"/>
  <c r="E54" i="3"/>
  <c r="F54" i="3" s="1"/>
  <c r="D54" i="3"/>
  <c r="D65" i="3" s="1"/>
  <c r="C54" i="3"/>
  <c r="C56" i="3" s="1"/>
  <c r="B54" i="3"/>
  <c r="B56" i="3" s="1"/>
  <c r="G51" i="2"/>
  <c r="G49" i="2"/>
  <c r="G47" i="2"/>
  <c r="G45" i="2"/>
  <c r="G43" i="2"/>
  <c r="G41" i="2"/>
  <c r="G39" i="2"/>
  <c r="G37" i="2"/>
  <c r="G35" i="2"/>
  <c r="G33" i="2"/>
  <c r="G27" i="2"/>
  <c r="G25" i="2"/>
  <c r="G23" i="2"/>
  <c r="G19" i="2"/>
  <c r="G17" i="2"/>
  <c r="G15" i="2"/>
  <c r="G13" i="2"/>
  <c r="G11" i="2"/>
  <c r="G9" i="2"/>
  <c r="G7" i="2"/>
  <c r="G5" i="2"/>
  <c r="F56" i="2"/>
  <c r="F59" i="2" s="1"/>
  <c r="E56" i="2"/>
  <c r="E59" i="2" s="1"/>
  <c r="D56" i="2"/>
  <c r="D59" i="2" s="1"/>
  <c r="C56" i="2"/>
  <c r="C59" i="2" s="1"/>
  <c r="B56" i="2"/>
  <c r="I55" i="2"/>
  <c r="F55" i="2"/>
  <c r="H45" i="2" s="1"/>
  <c r="E55" i="2"/>
  <c r="E58" i="2" s="1"/>
  <c r="D55" i="2"/>
  <c r="C55" i="2"/>
  <c r="B55" i="2"/>
  <c r="B59" i="2" l="1"/>
  <c r="H19" i="2"/>
  <c r="H53" i="2"/>
  <c r="H23" i="2"/>
  <c r="C58" i="2"/>
  <c r="H25" i="2"/>
  <c r="B58" i="2"/>
  <c r="D58" i="2"/>
  <c r="H47" i="2"/>
  <c r="F58" i="2"/>
  <c r="E57" i="2"/>
  <c r="H49" i="2"/>
  <c r="N86" i="4"/>
  <c r="O83" i="4"/>
  <c r="M86" i="4" s="1"/>
  <c r="L86" i="4"/>
  <c r="M85" i="4"/>
  <c r="D56" i="4"/>
  <c r="D83" i="4"/>
  <c r="P54" i="4"/>
  <c r="J84" i="4"/>
  <c r="J87" i="4" s="1"/>
  <c r="K85" i="4"/>
  <c r="K86" i="4"/>
  <c r="E56" i="4"/>
  <c r="E83" i="4"/>
  <c r="Q54" i="4"/>
  <c r="L84" i="4"/>
  <c r="L87" i="4" s="1"/>
  <c r="L56" i="4"/>
  <c r="K84" i="4"/>
  <c r="K87" i="4" s="1"/>
  <c r="C86" i="4"/>
  <c r="C85" i="4"/>
  <c r="H86" i="4"/>
  <c r="I86" i="4"/>
  <c r="E87" i="4"/>
  <c r="M84" i="4"/>
  <c r="M87" i="4" s="1"/>
  <c r="F83" i="4"/>
  <c r="B84" i="4"/>
  <c r="B87" i="4" s="1"/>
  <c r="N84" i="4"/>
  <c r="N87" i="4" s="1"/>
  <c r="P80" i="4"/>
  <c r="G83" i="4"/>
  <c r="Q80" i="4"/>
  <c r="H27" i="2"/>
  <c r="H55" i="2"/>
  <c r="B57" i="2"/>
  <c r="G55" i="2"/>
  <c r="H33" i="2"/>
  <c r="C57" i="2"/>
  <c r="H5" i="2"/>
  <c r="H35" i="2"/>
  <c r="D57" i="2"/>
  <c r="H7" i="2"/>
  <c r="H37" i="2"/>
  <c r="H9" i="2"/>
  <c r="L38" i="2"/>
  <c r="F57" i="2"/>
  <c r="H11" i="2"/>
  <c r="H39" i="2"/>
  <c r="H13" i="2"/>
  <c r="H41" i="2"/>
  <c r="H15" i="2"/>
  <c r="H43" i="2"/>
  <c r="H17" i="2"/>
  <c r="D67" i="3"/>
  <c r="D56" i="3"/>
  <c r="B67" i="3"/>
  <c r="E56" i="3"/>
  <c r="C67" i="3"/>
  <c r="E65" i="3"/>
  <c r="D86" i="4" l="1"/>
  <c r="D85" i="4"/>
  <c r="F85" i="4"/>
  <c r="F86" i="4"/>
  <c r="G85" i="4"/>
  <c r="G86" i="4"/>
  <c r="E86" i="4"/>
  <c r="E85" i="4"/>
  <c r="L85" i="4"/>
  <c r="J85" i="4"/>
  <c r="B85" i="4"/>
  <c r="Q60" i="4"/>
  <c r="Q46" i="4"/>
  <c r="Q52" i="4"/>
  <c r="Q40" i="4"/>
  <c r="Q28" i="4"/>
  <c r="Q16" i="4"/>
  <c r="Q4" i="4"/>
  <c r="O86" i="4"/>
  <c r="Q58" i="4"/>
  <c r="Q50" i="4"/>
  <c r="Q38" i="4"/>
  <c r="Q26" i="4"/>
  <c r="Q14" i="4"/>
  <c r="O85" i="4"/>
  <c r="Q70" i="4"/>
  <c r="Q48" i="4"/>
  <c r="Q36" i="4"/>
  <c r="Q24" i="4"/>
  <c r="Q12" i="4"/>
  <c r="Q68" i="4"/>
  <c r="Q66" i="4"/>
  <c r="Q34" i="4"/>
  <c r="Q22" i="4"/>
  <c r="Q10" i="4"/>
  <c r="Q83" i="4"/>
  <c r="P83" i="4"/>
  <c r="Q64" i="4"/>
  <c r="Q78" i="4"/>
  <c r="Q72" i="4"/>
  <c r="Q44" i="4"/>
  <c r="Q8" i="4"/>
  <c r="Q42" i="4"/>
  <c r="Q6" i="4"/>
  <c r="Q30" i="4"/>
  <c r="Q18" i="4"/>
  <c r="Q62" i="4"/>
  <c r="Q76" i="4"/>
  <c r="Q20" i="4"/>
  <c r="Q32" i="4"/>
  <c r="J86" i="4"/>
  <c r="B86" i="4"/>
  <c r="N85" i="4"/>
  <c r="G50" i="3"/>
  <c r="E67" i="3"/>
  <c r="G46" i="3"/>
  <c r="G18" i="3"/>
  <c r="G14" i="3"/>
  <c r="G12" i="3"/>
  <c r="G10" i="3"/>
  <c r="E68" i="3"/>
  <c r="G8" i="3"/>
  <c r="G60" i="3"/>
  <c r="G6" i="3"/>
  <c r="G32" i="3"/>
  <c r="G44" i="3"/>
  <c r="G16" i="3"/>
  <c r="G42" i="3"/>
  <c r="G38" i="3"/>
  <c r="G36" i="3"/>
  <c r="G34" i="3"/>
  <c r="G54" i="3"/>
  <c r="F65" i="3"/>
  <c r="G40" i="3"/>
  <c r="G65" i="3"/>
  <c r="G62" i="3"/>
  <c r="G52" i="3"/>
  <c r="G24" i="3"/>
  <c r="G22" i="3"/>
  <c r="G48" i="3"/>
  <c r="G20" i="3"/>
  <c r="G58" i="3"/>
  <c r="G4" i="3"/>
  <c r="G26" i="3"/>
  <c r="D68" i="3"/>
  <c r="B68" i="3"/>
  <c r="C68" i="3"/>
</calcChain>
</file>

<file path=xl/sharedStrings.xml><?xml version="1.0" encoding="utf-8"?>
<sst xmlns="http://schemas.openxmlformats.org/spreadsheetml/2006/main" count="333" uniqueCount="76">
  <si>
    <t>GROSS DIRECT PREMIUM INCOME UNDERWRITTEN BY NON-LIFE INSURERS WITHIN INDIA  (SEGMENT WISE) : FOR THE PERIOD UPTO October 2025 (PROVISIONAL &amp; UNAUDITED ) IN FY 2025-26  (Rs. In Crs.)</t>
  </si>
  <si>
    <t>Health-Retail</t>
  </si>
  <si>
    <t>Health-Group</t>
  </si>
  <si>
    <t>Health-Government schemes</t>
  </si>
  <si>
    <t>Overseas Medical</t>
  </si>
  <si>
    <t>Grand Total</t>
  </si>
  <si>
    <t>Growth %</t>
  </si>
  <si>
    <t>Market %</t>
  </si>
  <si>
    <t>Accretion</t>
  </si>
  <si>
    <t>General Insurers</t>
  </si>
  <si>
    <t>Acko General Insurance Ltd</t>
  </si>
  <si>
    <t>Previous Year</t>
  </si>
  <si>
    <t xml:space="preserve">Bajaj General Insurance Limited </t>
  </si>
  <si>
    <t>Cholamandalam MS General Insurance Co Ltd</t>
  </si>
  <si>
    <t>Generali Central Insurance Company Limited</t>
  </si>
  <si>
    <t>Go Digit General Insurance Ltd</t>
  </si>
  <si>
    <t>HDFC Ergo General Insurance Co Ltd</t>
  </si>
  <si>
    <t>ICICI Lombard General Insurance Co Ltd</t>
  </si>
  <si>
    <t>IFFCO-Tokio General Insurance Co Ltd</t>
  </si>
  <si>
    <t>Kshema General insurance</t>
  </si>
  <si>
    <t>Liberty  General Insurance Co. Ltd</t>
  </si>
  <si>
    <t>Magma General Insurance Limited</t>
  </si>
  <si>
    <t>National Insurance Co Ltd</t>
  </si>
  <si>
    <t>Navi General Insurance Co. Ltd</t>
  </si>
  <si>
    <t>Raheja QBE General Insurance Co Ltd</t>
  </si>
  <si>
    <t>Reliance General Insurance Co Ltd</t>
  </si>
  <si>
    <t>Royal Sundaram General Insurance Co Ltd</t>
  </si>
  <si>
    <t>SBI General Insurance Co Ltd</t>
  </si>
  <si>
    <t>Shriram General Insurance Co Ltd</t>
  </si>
  <si>
    <t>Tata AIG General Insurance Co Ltd</t>
  </si>
  <si>
    <t>The New India Assurance Co Ltd</t>
  </si>
  <si>
    <t>The Oriental Insurance Co Ltd</t>
  </si>
  <si>
    <t>United India Insurance Co Ltd</t>
  </si>
  <si>
    <t>Universal Sompo General Insurance Co Ltd</t>
  </si>
  <si>
    <t>Zuno General Insurance Co Ltd</t>
  </si>
  <si>
    <t>Zurich Kotak Mahindra General Insurance Co Ltd</t>
  </si>
  <si>
    <t>General Insurers Sub Total</t>
  </si>
  <si>
    <t>Previous Year Sub Total</t>
  </si>
  <si>
    <t>% Growth</t>
  </si>
  <si>
    <t>Stand-alone Health Insurers</t>
  </si>
  <si>
    <t xml:space="preserve"> Niva bupa health insurance company limited</t>
  </si>
  <si>
    <t>Aditya Birla Health Insurance Co Ltd</t>
  </si>
  <si>
    <t>Care Health Insurance Ltd</t>
  </si>
  <si>
    <t>Galaxy Health Insurance Company Ltd</t>
  </si>
  <si>
    <t>ManipalCigna Health Insurance Co Ltd</t>
  </si>
  <si>
    <t>Narayana Health Insurance Ltd</t>
  </si>
  <si>
    <t>Star Health &amp; Allied Insurance Co Ltd</t>
  </si>
  <si>
    <t>Stand-alone Health sub Total</t>
  </si>
  <si>
    <t>Industry Total</t>
  </si>
  <si>
    <t>% Market Share</t>
  </si>
  <si>
    <t>Previous Year Market Share</t>
  </si>
  <si>
    <t>Workmen's compensation/Employers' liability</t>
  </si>
  <si>
    <t>Public Liability (Act)</t>
  </si>
  <si>
    <t>Product Liability</t>
  </si>
  <si>
    <t>Other liability covers</t>
  </si>
  <si>
    <t>Crop Insurance</t>
  </si>
  <si>
    <t>Credit Guarantee</t>
  </si>
  <si>
    <t>All Other miscellaneous</t>
  </si>
  <si>
    <t>Specialised Insurers</t>
  </si>
  <si>
    <t>Agriculture Insurance Co Of India Ltd</t>
  </si>
  <si>
    <t>ECGC Ltd</t>
  </si>
  <si>
    <t>Specialised sub Total</t>
  </si>
  <si>
    <t>Fire</t>
  </si>
  <si>
    <t>Marine Total</t>
  </si>
  <si>
    <t>Marine  Cargo</t>
  </si>
  <si>
    <t>Marine  Hull</t>
  </si>
  <si>
    <t>Engineering</t>
  </si>
  <si>
    <t>Motor Total</t>
  </si>
  <si>
    <t>Motor OD</t>
  </si>
  <si>
    <t>Motor TP</t>
  </si>
  <si>
    <t xml:space="preserve">Health </t>
  </si>
  <si>
    <t xml:space="preserve">Aviation </t>
  </si>
  <si>
    <t>Liability</t>
  </si>
  <si>
    <t>P.A.</t>
  </si>
  <si>
    <t>All Other Misc (Crop Insurance + Credit Guarantee+All other misc)</t>
  </si>
  <si>
    <t>“IRDAI has recently revised the formats for reporting and they have excluded premium from long term policies from reporting of premiums with effect from October 1, 2024. It is assumed that all companies have deducted the long term premiums accordingly for the current year only following IRDAI formats. Therefore the growth rates reported for the current year cannot be compared with the previous year's figures.”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</si>
</sst>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 #,##0.00_ ;_ * \-#,##0.00_ ;_ * &quot;-&quot;??_ ;_ @_ "/>
  </numFmts>
  <fonts count="8" x14ac:knownFonts="1">
    <font>
      <sz val="11"/>
      <color theme="1"/>
      <name val="Calibri"/>
      <family val="2"/>
      <scheme val="minor"/>
    </font>
    <font>
      <sz val="11"/>
      <color theme="1"/>
      <name val="Calibri"/>
      <family val="2"/>
      <scheme val="minor"/>
    </font>
    <font>
      <b/>
      <sz val="11"/>
      <color theme="3"/>
      <name val="Calibri"/>
      <family val="2"/>
      <scheme val="minor"/>
    </font>
    <font>
      <b/>
      <sz val="11"/>
      <color theme="1"/>
      <name val="Calibri"/>
      <family val="2"/>
      <scheme val="minor"/>
    </font>
    <font>
      <b/>
      <sz val="12"/>
      <color theme="3"/>
      <name val="Calibri"/>
      <family val="2"/>
      <scheme val="minor"/>
    </font>
    <font>
      <b/>
      <sz val="10"/>
      <color theme="1"/>
      <name val="Calibri"/>
      <family val="2"/>
      <scheme val="minor"/>
    </font>
    <font>
      <sz val="10"/>
      <color theme="1"/>
      <name val="Calibri"/>
      <family val="2"/>
      <scheme val="minor"/>
    </font>
    <font>
      <b/>
      <sz val="11"/>
      <color theme="1"/>
      <name val="Aptos"/>
      <family val="2"/>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24">
    <xf numFmtId="0" fontId="0" fillId="0" borderId="0" xfId="0"/>
    <xf numFmtId="0" fontId="0" fillId="0" borderId="1" xfId="0" applyBorder="1"/>
    <xf numFmtId="0" fontId="3" fillId="0" borderId="1" xfId="0" applyFont="1" applyBorder="1"/>
    <xf numFmtId="0" fontId="3" fillId="0" borderId="1" xfId="0" applyFont="1" applyBorder="1" applyAlignment="1">
      <alignment vertical="top" wrapText="1"/>
    </xf>
    <xf numFmtId="43" fontId="3" fillId="0" borderId="1" xfId="1" applyFont="1" applyBorder="1"/>
    <xf numFmtId="164" fontId="3" fillId="0" borderId="1" xfId="0" applyNumberFormat="1" applyFont="1" applyBorder="1"/>
    <xf numFmtId="10" fontId="0" fillId="0" borderId="1" xfId="2" applyNumberFormat="1" applyFont="1" applyBorder="1"/>
    <xf numFmtId="10" fontId="3" fillId="0" borderId="1" xfId="2" applyNumberFormat="1" applyFont="1" applyBorder="1"/>
    <xf numFmtId="43" fontId="0" fillId="0" borderId="0" xfId="1" applyFont="1"/>
    <xf numFmtId="43" fontId="3" fillId="0" borderId="1" xfId="1" applyFont="1" applyBorder="1" applyAlignment="1">
      <alignment vertical="top" wrapText="1"/>
    </xf>
    <xf numFmtId="43" fontId="0" fillId="0" borderId="1" xfId="1" applyFont="1" applyBorder="1"/>
    <xf numFmtId="43" fontId="0" fillId="0" borderId="1" xfId="1" applyFont="1" applyBorder="1" applyAlignment="1">
      <alignment vertical="top" wrapText="1"/>
    </xf>
    <xf numFmtId="164" fontId="0" fillId="0" borderId="1" xfId="0" applyNumberFormat="1" applyBorder="1"/>
    <xf numFmtId="43" fontId="1" fillId="0" borderId="1" xfId="1" applyFont="1" applyBorder="1"/>
    <xf numFmtId="10" fontId="1" fillId="0" borderId="1" xfId="2" applyNumberFormat="1" applyFont="1" applyBorder="1"/>
    <xf numFmtId="43" fontId="3" fillId="0" borderId="1" xfId="0" applyNumberFormat="1" applyFont="1" applyBorder="1"/>
    <xf numFmtId="43" fontId="5" fillId="0" borderId="1" xfId="1" applyFont="1" applyBorder="1"/>
    <xf numFmtId="43" fontId="6" fillId="0" borderId="1" xfId="1" applyFont="1" applyBorder="1"/>
    <xf numFmtId="0" fontId="7" fillId="0" borderId="0" xfId="0" applyFont="1" applyAlignment="1">
      <alignment vertical="top" wrapText="1"/>
    </xf>
    <xf numFmtId="0" fontId="2" fillId="0" borderId="2" xfId="0" applyFont="1" applyBorder="1" applyAlignment="1">
      <alignment horizontal="center" vertical="center" wrapText="1"/>
    </xf>
    <xf numFmtId="43" fontId="2" fillId="0" borderId="2" xfId="1" applyFont="1" applyBorder="1" applyAlignment="1">
      <alignment horizontal="center" vertical="center" wrapText="1"/>
    </xf>
    <xf numFmtId="0" fontId="7" fillId="0" borderId="0" xfId="0" applyFont="1" applyAlignment="1">
      <alignment horizontal="center" vertical="top" wrapText="1"/>
    </xf>
    <xf numFmtId="0" fontId="4" fillId="0" borderId="2" xfId="0" applyFont="1" applyBorder="1" applyAlignment="1">
      <alignment horizontal="center" vertical="center" wrapText="1"/>
    </xf>
    <xf numFmtId="0" fontId="7" fillId="0" borderId="0" xfId="0" applyFont="1" applyAlignment="1">
      <alignment vertical="top"/>
    </xf>
  </cellXfs>
  <cellStyles count="3">
    <cellStyle name="Comma" xfId="1" builtinId="3"/>
    <cellStyle name="Normal" xfId="0" builtinId="0"/>
    <cellStyle name="Percent" xfId="2"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82"/>
  <sheetViews>
    <sheetView workbookViewId="0">
      <selection activeCell="A82" sqref="A82:I82"/>
    </sheetView>
  </sheetViews>
  <sheetFormatPr defaultRowHeight="14.4" x14ac:dyDescent="0.3"/>
  <cols>
    <col min="1" max="1" width="40.6640625" customWidth="1"/>
    <col min="2" max="2" width="10.33203125" customWidth="1"/>
    <col min="3" max="3" width="11.109375" customWidth="1"/>
    <col min="4" max="4" width="10.44140625" customWidth="1"/>
    <col min="5" max="5" width="9.77734375" customWidth="1"/>
    <col min="6" max="6" width="11.88671875" customWidth="1"/>
    <col min="9" max="9" width="10.88671875" customWidth="1"/>
  </cols>
  <sheetData>
    <row r="2" spans="1:9" ht="43.2" customHeight="1" x14ac:dyDescent="0.3">
      <c r="A2" s="19" t="s">
        <v>0</v>
      </c>
      <c r="B2" s="19"/>
      <c r="C2" s="19"/>
      <c r="D2" s="19"/>
      <c r="E2" s="19"/>
      <c r="F2" s="19"/>
      <c r="G2" s="19"/>
      <c r="H2" s="19"/>
      <c r="I2" s="19"/>
    </row>
    <row r="3" spans="1:9" ht="29.4" customHeight="1" x14ac:dyDescent="0.3">
      <c r="A3" s="3"/>
      <c r="B3" s="3" t="s">
        <v>1</v>
      </c>
      <c r="C3" s="3" t="s">
        <v>2</v>
      </c>
      <c r="D3" s="3" t="s">
        <v>3</v>
      </c>
      <c r="E3" s="3" t="s">
        <v>4</v>
      </c>
      <c r="F3" s="3" t="s">
        <v>5</v>
      </c>
      <c r="G3" s="3" t="s">
        <v>6</v>
      </c>
      <c r="H3" s="3" t="s">
        <v>7</v>
      </c>
      <c r="I3" s="3" t="s">
        <v>8</v>
      </c>
    </row>
    <row r="4" spans="1:9" x14ac:dyDescent="0.3">
      <c r="A4" s="2" t="s">
        <v>9</v>
      </c>
      <c r="B4" s="1"/>
      <c r="C4" s="1"/>
      <c r="D4" s="1"/>
      <c r="E4" s="1"/>
      <c r="F4" s="1"/>
      <c r="G4" s="1"/>
      <c r="H4" s="1"/>
      <c r="I4" s="1"/>
    </row>
    <row r="5" spans="1:9" x14ac:dyDescent="0.3">
      <c r="A5" s="1" t="s">
        <v>10</v>
      </c>
      <c r="B5" s="1">
        <v>83.4</v>
      </c>
      <c r="C5" s="1">
        <v>576.44000000000005</v>
      </c>
      <c r="D5" s="10">
        <v>0</v>
      </c>
      <c r="E5" s="1">
        <v>30.42</v>
      </c>
      <c r="F5" s="1">
        <v>690.26</v>
      </c>
      <c r="G5" s="6">
        <f>(F5-F6)/F6</f>
        <v>0.19250902682998453</v>
      </c>
      <c r="H5" s="6">
        <f>F5/$F$76</f>
        <v>9.0154559442830028E-3</v>
      </c>
      <c r="I5" s="1">
        <v>111.43</v>
      </c>
    </row>
    <row r="6" spans="1:9" x14ac:dyDescent="0.3">
      <c r="A6" s="1" t="s">
        <v>11</v>
      </c>
      <c r="B6" s="1">
        <v>51.11</v>
      </c>
      <c r="C6" s="1">
        <v>507.54</v>
      </c>
      <c r="D6" s="10">
        <v>0</v>
      </c>
      <c r="E6" s="1">
        <v>20.18</v>
      </c>
      <c r="F6" s="1">
        <v>578.83000000000004</v>
      </c>
      <c r="G6" s="1"/>
      <c r="H6" s="1"/>
      <c r="I6" s="1"/>
    </row>
    <row r="7" spans="1:9" x14ac:dyDescent="0.3">
      <c r="A7" s="1" t="s">
        <v>12</v>
      </c>
      <c r="B7" s="1">
        <v>659.97</v>
      </c>
      <c r="C7" s="1">
        <v>2505.3200000000002</v>
      </c>
      <c r="D7" s="1">
        <v>1075.8699999999999</v>
      </c>
      <c r="E7" s="1">
        <v>121.51</v>
      </c>
      <c r="F7" s="1">
        <v>4362.67</v>
      </c>
      <c r="G7" s="6">
        <f>(F7-F8)/F8</f>
        <v>-0.32023191458861805</v>
      </c>
      <c r="H7" s="6">
        <f>F7/$F$76</f>
        <v>5.6980643792839118E-2</v>
      </c>
      <c r="I7" s="1">
        <v>-2055.21</v>
      </c>
    </row>
    <row r="8" spans="1:9" x14ac:dyDescent="0.3">
      <c r="A8" s="1" t="s">
        <v>11</v>
      </c>
      <c r="B8" s="1">
        <v>606.79</v>
      </c>
      <c r="C8" s="1">
        <v>2415.16</v>
      </c>
      <c r="D8" s="1">
        <v>3260.29</v>
      </c>
      <c r="E8" s="1">
        <v>135.63999999999999</v>
      </c>
      <c r="F8" s="1">
        <v>6417.88</v>
      </c>
      <c r="G8" s="1"/>
      <c r="H8" s="1"/>
      <c r="I8" s="1"/>
    </row>
    <row r="9" spans="1:9" x14ac:dyDescent="0.3">
      <c r="A9" s="1" t="s">
        <v>13</v>
      </c>
      <c r="B9" s="1">
        <v>214.16</v>
      </c>
      <c r="C9" s="1">
        <v>376.29</v>
      </c>
      <c r="D9" s="10">
        <v>0</v>
      </c>
      <c r="E9" s="1">
        <v>0.59</v>
      </c>
      <c r="F9" s="1">
        <v>591.04</v>
      </c>
      <c r="G9" s="6">
        <f>(F9-F10)/F10</f>
        <v>-4.9988748513196422E-2</v>
      </c>
      <c r="H9" s="6">
        <f>F9/$F$76</f>
        <v>7.7195478244560392E-3</v>
      </c>
      <c r="I9" s="1">
        <v>-31.1</v>
      </c>
    </row>
    <row r="10" spans="1:9" x14ac:dyDescent="0.3">
      <c r="A10" s="1" t="s">
        <v>11</v>
      </c>
      <c r="B10" s="1">
        <v>326.06</v>
      </c>
      <c r="C10" s="1">
        <v>288.99</v>
      </c>
      <c r="D10" s="1">
        <v>6.26</v>
      </c>
      <c r="E10" s="1">
        <v>0.83</v>
      </c>
      <c r="F10" s="1">
        <v>622.14</v>
      </c>
      <c r="G10" s="1"/>
      <c r="H10" s="1"/>
      <c r="I10" s="1"/>
    </row>
    <row r="11" spans="1:9" x14ac:dyDescent="0.3">
      <c r="A11" s="1" t="s">
        <v>14</v>
      </c>
      <c r="B11" s="1">
        <v>106.19</v>
      </c>
      <c r="C11" s="1">
        <v>774.2</v>
      </c>
      <c r="D11" s="10">
        <v>0</v>
      </c>
      <c r="E11" s="1">
        <v>4.05</v>
      </c>
      <c r="F11" s="1">
        <v>884.44</v>
      </c>
      <c r="G11" s="6">
        <f>(F11-F12)/F12</f>
        <v>-0.20667354352603479</v>
      </c>
      <c r="H11" s="6">
        <f>F11/$F$76</f>
        <v>1.1551632508564395E-2</v>
      </c>
      <c r="I11" s="1">
        <v>-230.41</v>
      </c>
    </row>
    <row r="12" spans="1:9" x14ac:dyDescent="0.3">
      <c r="A12" s="1" t="s">
        <v>11</v>
      </c>
      <c r="B12" s="1">
        <v>107.99</v>
      </c>
      <c r="C12" s="1">
        <v>954.65</v>
      </c>
      <c r="D12" s="1">
        <v>46.82</v>
      </c>
      <c r="E12" s="1">
        <v>5.39</v>
      </c>
      <c r="F12" s="1">
        <v>1114.8499999999999</v>
      </c>
      <c r="G12" s="1"/>
      <c r="H12" s="1"/>
      <c r="I12" s="1"/>
    </row>
    <row r="13" spans="1:9" x14ac:dyDescent="0.3">
      <c r="A13" s="1" t="s">
        <v>15</v>
      </c>
      <c r="B13" s="1">
        <v>38.17</v>
      </c>
      <c r="C13" s="1">
        <v>793.46</v>
      </c>
      <c r="D13" s="10">
        <v>0</v>
      </c>
      <c r="E13" s="1">
        <v>10.02</v>
      </c>
      <c r="F13" s="1">
        <v>841.65</v>
      </c>
      <c r="G13" s="6">
        <f>(F13-F14)/F14</f>
        <v>8.2410586828195437E-2</v>
      </c>
      <c r="H13" s="6">
        <f>F13/$F$76</f>
        <v>1.099275417307361E-2</v>
      </c>
      <c r="I13" s="1">
        <v>64.08</v>
      </c>
    </row>
    <row r="14" spans="1:9" x14ac:dyDescent="0.3">
      <c r="A14" s="1" t="s">
        <v>11</v>
      </c>
      <c r="B14" s="1">
        <v>36.29</v>
      </c>
      <c r="C14" s="1">
        <v>737.24</v>
      </c>
      <c r="D14" s="10">
        <v>0</v>
      </c>
      <c r="E14" s="1">
        <v>4.04</v>
      </c>
      <c r="F14" s="1">
        <v>777.57</v>
      </c>
      <c r="G14" s="1"/>
      <c r="H14" s="1"/>
      <c r="I14" s="1"/>
    </row>
    <row r="15" spans="1:9" x14ac:dyDescent="0.3">
      <c r="A15" s="1" t="s">
        <v>16</v>
      </c>
      <c r="B15" s="1">
        <v>2436.46</v>
      </c>
      <c r="C15" s="1">
        <v>901.07</v>
      </c>
      <c r="D15" s="10">
        <v>0</v>
      </c>
      <c r="E15" s="1">
        <v>39.619999999999997</v>
      </c>
      <c r="F15" s="1">
        <v>3377.15</v>
      </c>
      <c r="G15" s="6">
        <f>(F15-F16)/F16</f>
        <v>-7.0360003293071134E-3</v>
      </c>
      <c r="H15" s="6">
        <f>F15/$F$76</f>
        <v>4.4108809785059752E-2</v>
      </c>
      <c r="I15" s="1">
        <v>-23.93</v>
      </c>
    </row>
    <row r="16" spans="1:9" x14ac:dyDescent="0.3">
      <c r="A16" s="1" t="s">
        <v>11</v>
      </c>
      <c r="B16" s="1">
        <v>2251.63</v>
      </c>
      <c r="C16" s="1">
        <v>1125.53</v>
      </c>
      <c r="D16" s="10">
        <v>0</v>
      </c>
      <c r="E16" s="1">
        <v>23.92</v>
      </c>
      <c r="F16" s="1">
        <v>3401.08</v>
      </c>
      <c r="G16" s="1"/>
      <c r="H16" s="1"/>
      <c r="I16" s="1"/>
    </row>
    <row r="17" spans="1:9" x14ac:dyDescent="0.3">
      <c r="A17" s="1" t="s">
        <v>17</v>
      </c>
      <c r="B17" s="1">
        <v>1101.29</v>
      </c>
      <c r="C17" s="1">
        <v>3550.1</v>
      </c>
      <c r="D17" s="10">
        <v>0</v>
      </c>
      <c r="E17" s="1">
        <v>186.8</v>
      </c>
      <c r="F17" s="1">
        <v>4838.1899999999996</v>
      </c>
      <c r="G17" s="6">
        <f>(F17-F18)/F18</f>
        <v>8.9113346179473765E-2</v>
      </c>
      <c r="H17" s="6">
        <f>F17/$F$76</f>
        <v>6.3191389903906617E-2</v>
      </c>
      <c r="I17" s="1">
        <v>395.87</v>
      </c>
    </row>
    <row r="18" spans="1:9" x14ac:dyDescent="0.3">
      <c r="A18" s="1" t="s">
        <v>11</v>
      </c>
      <c r="B18" s="1">
        <v>825.34</v>
      </c>
      <c r="C18" s="1">
        <v>3457.18</v>
      </c>
      <c r="D18" s="10">
        <v>0</v>
      </c>
      <c r="E18" s="1">
        <v>159.80000000000001</v>
      </c>
      <c r="F18" s="1">
        <v>4442.32</v>
      </c>
      <c r="G18" s="1"/>
      <c r="H18" s="1"/>
      <c r="I18" s="1"/>
    </row>
    <row r="19" spans="1:9" x14ac:dyDescent="0.3">
      <c r="A19" s="1" t="s">
        <v>18</v>
      </c>
      <c r="B19" s="1">
        <v>174.8</v>
      </c>
      <c r="C19" s="1">
        <v>367.73</v>
      </c>
      <c r="D19" s="10">
        <v>0</v>
      </c>
      <c r="E19" s="1">
        <v>1.1599999999999999</v>
      </c>
      <c r="F19" s="1">
        <v>543.69000000000005</v>
      </c>
      <c r="G19" s="6">
        <f>(F19-F20)/F20</f>
        <v>7.4783536946981463E-2</v>
      </c>
      <c r="H19" s="6">
        <f>F19/$F$76</f>
        <v>7.1011115265946544E-3</v>
      </c>
      <c r="I19" s="1">
        <v>37.83</v>
      </c>
    </row>
    <row r="20" spans="1:9" x14ac:dyDescent="0.3">
      <c r="A20" s="1" t="s">
        <v>11</v>
      </c>
      <c r="B20" s="1">
        <v>154.5</v>
      </c>
      <c r="C20" s="1">
        <v>348.97</v>
      </c>
      <c r="D20" s="1">
        <v>0.95</v>
      </c>
      <c r="E20" s="1">
        <v>1.44</v>
      </c>
      <c r="F20" s="1">
        <v>505.86</v>
      </c>
      <c r="G20" s="1"/>
      <c r="H20" s="1"/>
      <c r="I20" s="1"/>
    </row>
    <row r="21" spans="1:9" x14ac:dyDescent="0.3">
      <c r="A21" s="1" t="s">
        <v>19</v>
      </c>
      <c r="B21" s="1">
        <v>0.03</v>
      </c>
      <c r="C21" s="10">
        <v>0</v>
      </c>
      <c r="D21" s="10">
        <v>0</v>
      </c>
      <c r="E21" s="10">
        <v>0</v>
      </c>
      <c r="F21" s="1">
        <v>0.03</v>
      </c>
      <c r="G21" s="10">
        <v>0</v>
      </c>
      <c r="H21" s="10">
        <v>0</v>
      </c>
      <c r="I21" s="1">
        <v>0.03</v>
      </c>
    </row>
    <row r="22" spans="1:9" x14ac:dyDescent="0.3">
      <c r="A22" s="1" t="s">
        <v>11</v>
      </c>
      <c r="B22" s="10">
        <v>0</v>
      </c>
      <c r="C22" s="10">
        <v>0</v>
      </c>
      <c r="D22" s="10">
        <v>0</v>
      </c>
      <c r="E22" s="10">
        <v>0</v>
      </c>
      <c r="F22" s="10">
        <v>0</v>
      </c>
      <c r="G22" s="1"/>
      <c r="H22" s="1"/>
      <c r="I22" s="1"/>
    </row>
    <row r="23" spans="1:9" x14ac:dyDescent="0.3">
      <c r="A23" s="1" t="s">
        <v>20</v>
      </c>
      <c r="B23" s="1">
        <v>35.58</v>
      </c>
      <c r="C23" s="1">
        <v>275.82</v>
      </c>
      <c r="D23" s="10">
        <v>0</v>
      </c>
      <c r="E23" s="1">
        <v>17.75</v>
      </c>
      <c r="F23" s="1">
        <v>329.15</v>
      </c>
      <c r="G23" s="6">
        <f>(F23-F24)/F24</f>
        <v>0.54501502065339835</v>
      </c>
      <c r="H23" s="6">
        <f>F23/$F$76</f>
        <v>4.2990138847111958E-3</v>
      </c>
      <c r="I23" s="1">
        <v>116.11</v>
      </c>
    </row>
    <row r="24" spans="1:9" x14ac:dyDescent="0.3">
      <c r="A24" s="1" t="s">
        <v>11</v>
      </c>
      <c r="B24" s="1">
        <v>34.39</v>
      </c>
      <c r="C24" s="1">
        <v>169.54</v>
      </c>
      <c r="D24" s="10">
        <v>0</v>
      </c>
      <c r="E24" s="1">
        <v>9.11</v>
      </c>
      <c r="F24" s="1">
        <v>213.04</v>
      </c>
      <c r="G24" s="1"/>
      <c r="H24" s="1"/>
      <c r="I24" s="1"/>
    </row>
    <row r="25" spans="1:9" x14ac:dyDescent="0.3">
      <c r="A25" s="1" t="s">
        <v>21</v>
      </c>
      <c r="B25" s="1">
        <v>33.619999999999997</v>
      </c>
      <c r="C25" s="1">
        <v>495.13</v>
      </c>
      <c r="D25" s="10">
        <v>0</v>
      </c>
      <c r="E25" s="1">
        <v>0</v>
      </c>
      <c r="F25" s="1">
        <v>528.75</v>
      </c>
      <c r="G25" s="6">
        <f>(F25-F26)/F26</f>
        <v>0.32167674848772682</v>
      </c>
      <c r="H25" s="6">
        <f>F25/$F$76</f>
        <v>6.9059808340909768E-3</v>
      </c>
      <c r="I25" s="1">
        <v>128.69</v>
      </c>
    </row>
    <row r="26" spans="1:9" x14ac:dyDescent="0.3">
      <c r="A26" s="1" t="s">
        <v>11</v>
      </c>
      <c r="B26" s="1">
        <v>32.4</v>
      </c>
      <c r="C26" s="1">
        <v>367.66</v>
      </c>
      <c r="D26" s="10">
        <v>0</v>
      </c>
      <c r="E26" s="1">
        <v>0</v>
      </c>
      <c r="F26" s="1">
        <v>400.06</v>
      </c>
      <c r="G26" s="1"/>
      <c r="H26" s="1"/>
      <c r="I26" s="1"/>
    </row>
    <row r="27" spans="1:9" x14ac:dyDescent="0.3">
      <c r="A27" s="1" t="s">
        <v>22</v>
      </c>
      <c r="B27" s="1">
        <v>1431.02</v>
      </c>
      <c r="C27" s="1">
        <v>3640.41</v>
      </c>
      <c r="D27" s="1">
        <v>540.58000000000004</v>
      </c>
      <c r="E27" s="1">
        <v>2.48</v>
      </c>
      <c r="F27" s="1">
        <v>5614.49</v>
      </c>
      <c r="G27" s="6">
        <f>(F27-F28)/F28</f>
        <v>6.3547779701535384E-2</v>
      </c>
      <c r="H27" s="6">
        <f>F27/$F$76</f>
        <v>7.3330610559234885E-2</v>
      </c>
      <c r="I27" s="1">
        <v>335.47</v>
      </c>
    </row>
    <row r="28" spans="1:9" x14ac:dyDescent="0.3">
      <c r="A28" s="1" t="s">
        <v>11</v>
      </c>
      <c r="B28" s="1">
        <v>1320.02</v>
      </c>
      <c r="C28" s="1">
        <v>3562.44</v>
      </c>
      <c r="D28" s="1">
        <v>394.97</v>
      </c>
      <c r="E28" s="1">
        <v>1.59</v>
      </c>
      <c r="F28" s="1">
        <v>5279.02</v>
      </c>
      <c r="G28" s="1"/>
      <c r="H28" s="1"/>
      <c r="I28" s="1"/>
    </row>
    <row r="29" spans="1:9" x14ac:dyDescent="0.3">
      <c r="A29" s="1" t="s">
        <v>23</v>
      </c>
      <c r="B29" s="1">
        <v>36.39</v>
      </c>
      <c r="C29" s="1">
        <v>21.65</v>
      </c>
      <c r="D29" s="10">
        <v>0</v>
      </c>
      <c r="E29" s="10">
        <v>0</v>
      </c>
      <c r="F29" s="1">
        <v>58.04</v>
      </c>
      <c r="G29" s="6">
        <f>(F29-F30)/F30</f>
        <v>0.92759880438392561</v>
      </c>
      <c r="H29" s="6">
        <f>F29/$F$76</f>
        <v>7.5805792455913056E-4</v>
      </c>
      <c r="I29" s="1">
        <v>27.93</v>
      </c>
    </row>
    <row r="30" spans="1:9" x14ac:dyDescent="0.3">
      <c r="A30" s="1" t="s">
        <v>11</v>
      </c>
      <c r="B30" s="1">
        <v>30.16</v>
      </c>
      <c r="C30" s="1">
        <v>-0.05</v>
      </c>
      <c r="D30" s="10">
        <v>0</v>
      </c>
      <c r="E30" s="10">
        <v>0</v>
      </c>
      <c r="F30" s="1">
        <v>30.11</v>
      </c>
      <c r="G30" s="1"/>
      <c r="H30" s="1"/>
      <c r="I30" s="1"/>
    </row>
    <row r="31" spans="1:9" x14ac:dyDescent="0.3">
      <c r="A31" s="1" t="s">
        <v>24</v>
      </c>
      <c r="B31" s="1">
        <v>1.49</v>
      </c>
      <c r="C31" s="1">
        <v>2.19</v>
      </c>
      <c r="D31" s="10">
        <v>0</v>
      </c>
      <c r="E31" s="10">
        <v>0</v>
      </c>
      <c r="F31" s="1">
        <v>3.68</v>
      </c>
      <c r="G31" s="6">
        <f>(F31-F32)/F32</f>
        <v>-0.85361972951471765</v>
      </c>
      <c r="H31" s="1">
        <v>0</v>
      </c>
      <c r="I31" s="1">
        <v>-21.46</v>
      </c>
    </row>
    <row r="32" spans="1:9" x14ac:dyDescent="0.3">
      <c r="A32" s="1" t="s">
        <v>11</v>
      </c>
      <c r="B32" s="1">
        <v>1.85</v>
      </c>
      <c r="C32" s="1">
        <v>23.29</v>
      </c>
      <c r="D32" s="10">
        <v>0</v>
      </c>
      <c r="E32" s="10">
        <v>0</v>
      </c>
      <c r="F32" s="1">
        <v>25.14</v>
      </c>
      <c r="G32" s="1"/>
      <c r="H32" s="1"/>
      <c r="I32" s="1"/>
    </row>
    <row r="33" spans="1:9" x14ac:dyDescent="0.3">
      <c r="A33" s="1" t="s">
        <v>25</v>
      </c>
      <c r="B33" s="1">
        <v>254.91</v>
      </c>
      <c r="C33" s="1">
        <v>1069.17</v>
      </c>
      <c r="D33" s="1">
        <v>346.44</v>
      </c>
      <c r="E33" s="1">
        <v>96.41</v>
      </c>
      <c r="F33" s="1">
        <v>1766.93</v>
      </c>
      <c r="G33" s="6">
        <f>(F33-F34)/F34</f>
        <v>0.24866965831596066</v>
      </c>
      <c r="H33" s="6">
        <f>F33/$F$76</f>
        <v>2.3077796151641364E-2</v>
      </c>
      <c r="I33" s="1">
        <v>351.88</v>
      </c>
    </row>
    <row r="34" spans="1:9" x14ac:dyDescent="0.3">
      <c r="A34" s="1" t="s">
        <v>11</v>
      </c>
      <c r="B34" s="1">
        <v>242.24</v>
      </c>
      <c r="C34" s="1">
        <v>908.84</v>
      </c>
      <c r="D34" s="1">
        <v>186.9</v>
      </c>
      <c r="E34" s="1">
        <v>77.069999999999993</v>
      </c>
      <c r="F34" s="1">
        <v>1415.05</v>
      </c>
      <c r="G34" s="1"/>
      <c r="H34" s="1"/>
      <c r="I34" s="1"/>
    </row>
    <row r="35" spans="1:9" x14ac:dyDescent="0.3">
      <c r="A35" s="1" t="s">
        <v>26</v>
      </c>
      <c r="B35" s="1">
        <v>96.62</v>
      </c>
      <c r="C35" s="1">
        <v>497.22</v>
      </c>
      <c r="D35" s="10">
        <v>0</v>
      </c>
      <c r="E35" s="1">
        <v>1.1499999999999999</v>
      </c>
      <c r="F35" s="1">
        <v>594.99</v>
      </c>
      <c r="G35" s="6">
        <f>(F35-F36)/F36</f>
        <v>0.40066856564420061</v>
      </c>
      <c r="H35" s="6">
        <f>F35/$F$76</f>
        <v>7.7711386032639062E-3</v>
      </c>
      <c r="I35" s="1">
        <v>170.2</v>
      </c>
    </row>
    <row r="36" spans="1:9" x14ac:dyDescent="0.3">
      <c r="A36" s="1" t="s">
        <v>11</v>
      </c>
      <c r="B36" s="1">
        <v>110.16</v>
      </c>
      <c r="C36" s="1">
        <v>312.17</v>
      </c>
      <c r="D36" s="10">
        <v>0</v>
      </c>
      <c r="E36" s="1">
        <v>2.46</v>
      </c>
      <c r="F36" s="1">
        <v>424.79</v>
      </c>
      <c r="G36" s="1"/>
      <c r="H36" s="1"/>
      <c r="I36" s="1"/>
    </row>
    <row r="37" spans="1:9" x14ac:dyDescent="0.3">
      <c r="A37" s="1" t="s">
        <v>27</v>
      </c>
      <c r="B37" s="1">
        <v>194.76</v>
      </c>
      <c r="C37" s="1">
        <v>1777.03</v>
      </c>
      <c r="D37" s="10">
        <v>0</v>
      </c>
      <c r="E37" s="1">
        <v>0.72</v>
      </c>
      <c r="F37" s="1">
        <v>1972.51</v>
      </c>
      <c r="G37" s="6">
        <f>(F37-F38)/F38</f>
        <v>0.36141268712858998</v>
      </c>
      <c r="H37" s="6">
        <f>F37/$F$76</f>
        <v>2.5762867621849254E-2</v>
      </c>
      <c r="I37" s="1">
        <v>523.64</v>
      </c>
    </row>
    <row r="38" spans="1:9" x14ac:dyDescent="0.3">
      <c r="A38" s="1" t="s">
        <v>11</v>
      </c>
      <c r="B38" s="1">
        <v>238.05</v>
      </c>
      <c r="C38" s="1">
        <v>1210</v>
      </c>
      <c r="D38" s="10">
        <v>0</v>
      </c>
      <c r="E38" s="1">
        <v>0.82</v>
      </c>
      <c r="F38" s="1">
        <v>1448.87</v>
      </c>
      <c r="G38" s="1"/>
      <c r="H38" s="1"/>
      <c r="I38" s="1"/>
    </row>
    <row r="39" spans="1:9" x14ac:dyDescent="0.3">
      <c r="A39" s="1" t="s">
        <v>28</v>
      </c>
      <c r="B39" s="1">
        <v>4.4800000000000004</v>
      </c>
      <c r="C39" s="1">
        <v>2.1800000000000002</v>
      </c>
      <c r="D39" s="10">
        <v>0</v>
      </c>
      <c r="E39" s="10">
        <v>0</v>
      </c>
      <c r="F39" s="1">
        <v>6.66</v>
      </c>
      <c r="G39" s="6">
        <f>(F39-F40)/F40</f>
        <v>2.9408284023668645</v>
      </c>
      <c r="H39" s="6">
        <f>F39/$F$76</f>
        <v>8.6985971357060821E-5</v>
      </c>
      <c r="I39" s="1">
        <v>4.97</v>
      </c>
    </row>
    <row r="40" spans="1:9" x14ac:dyDescent="0.3">
      <c r="A40" s="1" t="s">
        <v>11</v>
      </c>
      <c r="B40" s="1">
        <v>1.67</v>
      </c>
      <c r="C40" s="1">
        <v>0.01</v>
      </c>
      <c r="D40" s="10">
        <v>0</v>
      </c>
      <c r="E40" s="1">
        <v>0.01</v>
      </c>
      <c r="F40" s="1">
        <v>1.69</v>
      </c>
      <c r="G40" s="1"/>
      <c r="H40" s="1"/>
      <c r="I40" s="1"/>
    </row>
    <row r="41" spans="1:9" x14ac:dyDescent="0.3">
      <c r="A41" s="1" t="s">
        <v>29</v>
      </c>
      <c r="B41" s="1">
        <v>837</v>
      </c>
      <c r="C41" s="1">
        <v>1189.67</v>
      </c>
      <c r="D41" s="1">
        <v>24.45</v>
      </c>
      <c r="E41" s="1">
        <v>312.7</v>
      </c>
      <c r="F41" s="1">
        <v>2363.8200000000002</v>
      </c>
      <c r="G41" s="6">
        <f>(F41-F42)/F42</f>
        <v>0.15437808272696202</v>
      </c>
      <c r="H41" s="6">
        <f>F41/$F$76</f>
        <v>3.0873750572559686E-2</v>
      </c>
      <c r="I41" s="1">
        <v>316.12</v>
      </c>
    </row>
    <row r="42" spans="1:9" x14ac:dyDescent="0.3">
      <c r="A42" s="1" t="s">
        <v>11</v>
      </c>
      <c r="B42" s="1">
        <v>636.71</v>
      </c>
      <c r="C42" s="1">
        <v>1115.23</v>
      </c>
      <c r="D42" s="10">
        <v>0</v>
      </c>
      <c r="E42" s="1">
        <v>295.76</v>
      </c>
      <c r="F42" s="1">
        <v>2047.7</v>
      </c>
      <c r="G42" s="1"/>
      <c r="H42" s="1"/>
      <c r="I42" s="1"/>
    </row>
    <row r="43" spans="1:9" x14ac:dyDescent="0.3">
      <c r="A43" s="1" t="s">
        <v>30</v>
      </c>
      <c r="B43" s="1">
        <v>1983.88</v>
      </c>
      <c r="C43" s="1">
        <v>8991.2099999999991</v>
      </c>
      <c r="D43" s="1">
        <v>2433.98</v>
      </c>
      <c r="E43" s="1">
        <v>4.29</v>
      </c>
      <c r="F43" s="1">
        <v>13413.36</v>
      </c>
      <c r="G43" s="6">
        <f>(F43-F44)/F44</f>
        <v>0.15164804972911713</v>
      </c>
      <c r="H43" s="6">
        <f>F43/$F$76</f>
        <v>0.17519131362791973</v>
      </c>
      <c r="I43" s="1">
        <v>1766.26</v>
      </c>
    </row>
    <row r="44" spans="1:9" x14ac:dyDescent="0.3">
      <c r="A44" s="1" t="s">
        <v>11</v>
      </c>
      <c r="B44" s="1">
        <v>1847.55</v>
      </c>
      <c r="C44" s="1">
        <v>7824.35</v>
      </c>
      <c r="D44" s="1">
        <v>1970.42</v>
      </c>
      <c r="E44" s="1">
        <v>4.78</v>
      </c>
      <c r="F44" s="1">
        <v>11647.1</v>
      </c>
      <c r="G44" s="1"/>
      <c r="H44" s="1"/>
      <c r="I44" s="1"/>
    </row>
    <row r="45" spans="1:9" x14ac:dyDescent="0.3">
      <c r="A45" s="1" t="s">
        <v>31</v>
      </c>
      <c r="B45" s="1">
        <v>1101.78</v>
      </c>
      <c r="C45" s="1">
        <v>3779.51</v>
      </c>
      <c r="D45" s="1">
        <v>299.24</v>
      </c>
      <c r="E45" s="1">
        <v>2.1</v>
      </c>
      <c r="F45" s="1">
        <v>5182.63</v>
      </c>
      <c r="G45" s="6">
        <f>(F45-F46)/F46</f>
        <v>4.9676345253333858E-2</v>
      </c>
      <c r="H45" s="6">
        <f>F45/$F$76</f>
        <v>6.769010581595257E-2</v>
      </c>
      <c r="I45" s="1">
        <v>245.27</v>
      </c>
    </row>
    <row r="46" spans="1:9" x14ac:dyDescent="0.3">
      <c r="A46" s="1" t="s">
        <v>11</v>
      </c>
      <c r="B46" s="1">
        <v>1012.64</v>
      </c>
      <c r="C46" s="1">
        <v>3631.39</v>
      </c>
      <c r="D46" s="1">
        <v>290.88</v>
      </c>
      <c r="E46" s="1">
        <v>2.4500000000000002</v>
      </c>
      <c r="F46" s="1">
        <v>4937.3599999999997</v>
      </c>
      <c r="G46" s="1"/>
      <c r="H46" s="1"/>
      <c r="I46" s="1"/>
    </row>
    <row r="47" spans="1:9" x14ac:dyDescent="0.3">
      <c r="A47" s="1" t="s">
        <v>32</v>
      </c>
      <c r="B47" s="1">
        <v>1019.52</v>
      </c>
      <c r="C47" s="1">
        <v>2903.4</v>
      </c>
      <c r="D47" s="1">
        <v>249.11</v>
      </c>
      <c r="E47" s="1">
        <v>2.4500000000000002</v>
      </c>
      <c r="F47" s="1">
        <v>4174.4799999999996</v>
      </c>
      <c r="G47" s="6">
        <f>(F47-F48)/F48</f>
        <v>2.1125002400566705E-3</v>
      </c>
      <c r="H47" s="6">
        <f>F47/$F$76</f>
        <v>5.452270235895243E-2</v>
      </c>
      <c r="I47" s="1">
        <v>8.8000000000000007</v>
      </c>
    </row>
    <row r="48" spans="1:9" x14ac:dyDescent="0.3">
      <c r="A48" s="1" t="s">
        <v>11</v>
      </c>
      <c r="B48" s="1">
        <v>956.77</v>
      </c>
      <c r="C48" s="1">
        <v>2515.42</v>
      </c>
      <c r="D48" s="1">
        <v>690.57</v>
      </c>
      <c r="E48" s="1">
        <v>2.92</v>
      </c>
      <c r="F48" s="1">
        <v>4165.68</v>
      </c>
      <c r="G48" s="1"/>
      <c r="H48" s="1"/>
      <c r="I48" s="1"/>
    </row>
    <row r="49" spans="1:9" x14ac:dyDescent="0.3">
      <c r="A49" s="1" t="s">
        <v>33</v>
      </c>
      <c r="B49" s="1">
        <v>58.66</v>
      </c>
      <c r="C49" s="1">
        <v>820.74</v>
      </c>
      <c r="D49" s="1">
        <v>1.51</v>
      </c>
      <c r="E49" s="1">
        <v>12.14</v>
      </c>
      <c r="F49" s="1">
        <v>893.05</v>
      </c>
      <c r="G49" s="6">
        <f>(F49-F50)/F50</f>
        <v>0.53897189336366302</v>
      </c>
      <c r="H49" s="6">
        <f>F49/$F$76</f>
        <v>1.1664087345408882E-2</v>
      </c>
      <c r="I49" s="1">
        <v>312.76</v>
      </c>
    </row>
    <row r="50" spans="1:9" x14ac:dyDescent="0.3">
      <c r="A50" s="1" t="s">
        <v>11</v>
      </c>
      <c r="B50" s="1">
        <v>56.49</v>
      </c>
      <c r="C50" s="1">
        <v>511.48</v>
      </c>
      <c r="D50" s="1">
        <v>1.28</v>
      </c>
      <c r="E50" s="1">
        <v>11.04</v>
      </c>
      <c r="F50" s="1">
        <v>580.29</v>
      </c>
      <c r="G50" s="1"/>
      <c r="H50" s="1"/>
      <c r="I50" s="1"/>
    </row>
    <row r="51" spans="1:9" x14ac:dyDescent="0.3">
      <c r="A51" s="1" t="s">
        <v>34</v>
      </c>
      <c r="B51" s="1">
        <v>4.3099999999999996</v>
      </c>
      <c r="C51" s="1">
        <v>215.24</v>
      </c>
      <c r="D51" s="10">
        <v>0</v>
      </c>
      <c r="E51" s="1">
        <v>0.72</v>
      </c>
      <c r="F51" s="1">
        <v>220.27</v>
      </c>
      <c r="G51" s="6">
        <f>(F51-F52)/F52</f>
        <v>4.1514965246583768E-2</v>
      </c>
      <c r="H51" s="6">
        <f>F51/$F$76</f>
        <v>2.8769369235465145E-3</v>
      </c>
      <c r="I51" s="1">
        <v>8.7799999999999994</v>
      </c>
    </row>
    <row r="52" spans="1:9" x14ac:dyDescent="0.3">
      <c r="A52" s="1" t="s">
        <v>11</v>
      </c>
      <c r="B52" s="1">
        <v>5.24</v>
      </c>
      <c r="C52" s="1">
        <v>202.85</v>
      </c>
      <c r="D52" s="10">
        <v>0</v>
      </c>
      <c r="E52" s="1">
        <v>3.4</v>
      </c>
      <c r="F52" s="1">
        <v>211.49</v>
      </c>
      <c r="G52" s="1"/>
      <c r="H52" s="1"/>
      <c r="I52" s="1"/>
    </row>
    <row r="53" spans="1:9" x14ac:dyDescent="0.3">
      <c r="A53" s="1" t="s">
        <v>35</v>
      </c>
      <c r="B53" s="1">
        <v>43.24</v>
      </c>
      <c r="C53" s="1">
        <v>417.09</v>
      </c>
      <c r="D53" s="10">
        <v>0</v>
      </c>
      <c r="E53" s="1">
        <v>1.05</v>
      </c>
      <c r="F53" s="1">
        <v>461.38</v>
      </c>
      <c r="G53" s="6">
        <f>(F53-F54)/F54</f>
        <v>8.3000798084596997E-2</v>
      </c>
      <c r="H53" s="6">
        <f>F53/$F$76</f>
        <v>6.026064183892E-3</v>
      </c>
      <c r="I53" s="1">
        <v>35.36</v>
      </c>
    </row>
    <row r="54" spans="1:9" x14ac:dyDescent="0.3">
      <c r="A54" s="1" t="s">
        <v>11</v>
      </c>
      <c r="B54" s="1">
        <v>55.73</v>
      </c>
      <c r="C54" s="1">
        <v>370.11</v>
      </c>
      <c r="D54" s="10">
        <v>0</v>
      </c>
      <c r="E54" s="1">
        <v>0.18</v>
      </c>
      <c r="F54" s="1">
        <v>426.02</v>
      </c>
      <c r="G54" s="1"/>
      <c r="H54" s="1"/>
      <c r="I54" s="1"/>
    </row>
    <row r="55" spans="1:9" x14ac:dyDescent="0.3">
      <c r="A55" s="2" t="s">
        <v>36</v>
      </c>
      <c r="B55" s="4">
        <f t="shared" ref="B55:F56" si="0">SUM(B5+B7+B9+B11+B13+B15+B17+B19+B21+B23+B25+B27+B29+B31+B33+B35+B37+B39+B41+B43+B45+B47+B49+B51+B53)</f>
        <v>11951.730000000001</v>
      </c>
      <c r="C55" s="4">
        <f t="shared" si="0"/>
        <v>35942.26999999999</v>
      </c>
      <c r="D55" s="4">
        <f t="shared" si="0"/>
        <v>4971.1799999999994</v>
      </c>
      <c r="E55" s="4">
        <f t="shared" si="0"/>
        <v>848.13000000000011</v>
      </c>
      <c r="F55" s="4">
        <f t="shared" si="0"/>
        <v>53713.31</v>
      </c>
      <c r="G55" s="7">
        <f>(F55-F56)/F56</f>
        <v>5.0854424448594705E-2</v>
      </c>
      <c r="H55" s="7">
        <f>F55/$F$76</f>
        <v>0.7015472139869261</v>
      </c>
      <c r="I55" s="4">
        <f t="shared" ref="I55" si="1">SUM(I5+I7+I9+I11+I13+I15+I17+I19+I21+I23+I25+I27+I29+I31+I33+I35+I37+I39+I41+I43+I45+I47+I49+I51+I53)</f>
        <v>2599.3700000000008</v>
      </c>
    </row>
    <row r="56" spans="1:9" x14ac:dyDescent="0.3">
      <c r="A56" s="1" t="s">
        <v>37</v>
      </c>
      <c r="B56" s="10">
        <f t="shared" si="0"/>
        <v>10941.779999999999</v>
      </c>
      <c r="C56" s="10">
        <f t="shared" si="0"/>
        <v>32559.989999999994</v>
      </c>
      <c r="D56" s="10">
        <f t="shared" si="0"/>
        <v>6849.34</v>
      </c>
      <c r="E56" s="10">
        <f t="shared" si="0"/>
        <v>762.82999999999981</v>
      </c>
      <c r="F56" s="10">
        <f t="shared" si="0"/>
        <v>51113.939999999995</v>
      </c>
      <c r="G56" s="1"/>
      <c r="H56" s="1"/>
      <c r="I56" s="1"/>
    </row>
    <row r="57" spans="1:9" x14ac:dyDescent="0.3">
      <c r="A57" s="1" t="s">
        <v>38</v>
      </c>
      <c r="B57" s="14">
        <f t="shared" ref="B57:F57" si="2">(B55-B56)/B56</f>
        <v>9.2302166557909474E-2</v>
      </c>
      <c r="C57" s="14">
        <f t="shared" si="2"/>
        <v>0.10387841028206692</v>
      </c>
      <c r="D57" s="14">
        <f t="shared" si="2"/>
        <v>-0.27421036187428288</v>
      </c>
      <c r="E57" s="14">
        <f t="shared" si="2"/>
        <v>0.11182045803127869</v>
      </c>
      <c r="F57" s="14">
        <f t="shared" si="2"/>
        <v>5.0854424448594705E-2</v>
      </c>
      <c r="G57" s="1"/>
      <c r="H57" s="1"/>
      <c r="I57" s="1"/>
    </row>
    <row r="58" spans="1:9" x14ac:dyDescent="0.3">
      <c r="A58" s="2" t="s">
        <v>39</v>
      </c>
      <c r="B58" s="1"/>
      <c r="C58" s="1"/>
      <c r="D58" s="1"/>
      <c r="E58" s="1"/>
      <c r="F58" s="1"/>
      <c r="G58" s="1"/>
      <c r="H58" s="1"/>
      <c r="I58" s="1"/>
    </row>
    <row r="59" spans="1:9" x14ac:dyDescent="0.3">
      <c r="A59" s="1" t="s">
        <v>40</v>
      </c>
      <c r="B59" s="1">
        <v>2831.67</v>
      </c>
      <c r="C59" s="1">
        <v>1265.94</v>
      </c>
      <c r="D59" s="10">
        <v>0</v>
      </c>
      <c r="E59" s="1">
        <v>9.9</v>
      </c>
      <c r="F59" s="1">
        <v>4107.51</v>
      </c>
      <c r="G59" s="6">
        <f>(F59-F60)/F60</f>
        <v>0.14641409799828076</v>
      </c>
      <c r="H59" s="6">
        <f>F59/$F$76</f>
        <v>5.364801009141755E-2</v>
      </c>
      <c r="I59" s="1">
        <v>524.59</v>
      </c>
    </row>
    <row r="60" spans="1:9" x14ac:dyDescent="0.3">
      <c r="A60" s="1" t="s">
        <v>11</v>
      </c>
      <c r="B60" s="1">
        <v>2495.3200000000002</v>
      </c>
      <c r="C60" s="1">
        <v>1074.95</v>
      </c>
      <c r="D60" s="10">
        <v>0</v>
      </c>
      <c r="E60" s="1">
        <v>12.65</v>
      </c>
      <c r="F60" s="1">
        <v>3582.92</v>
      </c>
      <c r="G60" s="1"/>
      <c r="H60" s="1"/>
      <c r="I60" s="1"/>
    </row>
    <row r="61" spans="1:9" x14ac:dyDescent="0.3">
      <c r="A61" s="1" t="s">
        <v>41</v>
      </c>
      <c r="B61" s="1">
        <v>996.69</v>
      </c>
      <c r="C61" s="1">
        <v>2073.25</v>
      </c>
      <c r="D61" s="10">
        <v>0</v>
      </c>
      <c r="E61" s="1">
        <v>21</v>
      </c>
      <c r="F61" s="1">
        <v>3090.94</v>
      </c>
      <c r="G61" s="6">
        <f>(F61-F62)/F62</f>
        <v>0.32757509900097059</v>
      </c>
      <c r="H61" s="6">
        <f>F61/$F$76</f>
        <v>4.0370633379338376E-2</v>
      </c>
      <c r="I61" s="1">
        <v>762.68</v>
      </c>
    </row>
    <row r="62" spans="1:9" x14ac:dyDescent="0.3">
      <c r="A62" s="1" t="s">
        <v>11</v>
      </c>
      <c r="B62" s="1">
        <v>796.27</v>
      </c>
      <c r="C62" s="1">
        <v>1498.08</v>
      </c>
      <c r="D62" s="10">
        <v>0</v>
      </c>
      <c r="E62" s="1">
        <v>33.909999999999997</v>
      </c>
      <c r="F62" s="1">
        <v>2328.2600000000002</v>
      </c>
      <c r="G62" s="1"/>
      <c r="H62" s="1"/>
      <c r="I62" s="1"/>
    </row>
    <row r="63" spans="1:9" x14ac:dyDescent="0.3">
      <c r="A63" s="1" t="s">
        <v>42</v>
      </c>
      <c r="B63" s="1">
        <v>3225.32</v>
      </c>
      <c r="C63" s="1">
        <v>1765.84</v>
      </c>
      <c r="D63" s="10">
        <v>0</v>
      </c>
      <c r="E63" s="1">
        <v>74.98</v>
      </c>
      <c r="F63" s="1">
        <v>5066.1400000000003</v>
      </c>
      <c r="G63" s="6">
        <f>(F63-F64)/F64</f>
        <v>8.3464681438962254E-2</v>
      </c>
      <c r="H63" s="6">
        <f>F63/$F$76</f>
        <v>6.6168634974603624E-2</v>
      </c>
      <c r="I63" s="1">
        <v>390.27</v>
      </c>
    </row>
    <row r="64" spans="1:9" x14ac:dyDescent="0.3">
      <c r="A64" s="1" t="s">
        <v>11</v>
      </c>
      <c r="B64" s="1">
        <v>2762.54</v>
      </c>
      <c r="C64" s="1">
        <v>1833.33</v>
      </c>
      <c r="D64" s="10">
        <v>0</v>
      </c>
      <c r="E64" s="1">
        <v>80</v>
      </c>
      <c r="F64" s="1">
        <v>4675.87</v>
      </c>
      <c r="G64" s="1"/>
      <c r="H64" s="1"/>
      <c r="I64" s="1"/>
    </row>
    <row r="65" spans="1:9" x14ac:dyDescent="0.3">
      <c r="A65" s="1" t="s">
        <v>43</v>
      </c>
      <c r="B65" s="1">
        <v>30.78</v>
      </c>
      <c r="C65" s="1">
        <v>17.02</v>
      </c>
      <c r="D65" s="10">
        <v>0</v>
      </c>
      <c r="E65" s="10">
        <v>0</v>
      </c>
      <c r="F65" s="1">
        <v>47.8</v>
      </c>
      <c r="G65" s="10">
        <v>0</v>
      </c>
      <c r="H65" s="6">
        <f>F65/$F$76</f>
        <v>6.2431372835848446E-4</v>
      </c>
      <c r="I65" s="1">
        <v>47.8</v>
      </c>
    </row>
    <row r="66" spans="1:9" x14ac:dyDescent="0.3">
      <c r="A66" s="1" t="s">
        <v>11</v>
      </c>
      <c r="B66" s="10">
        <v>0</v>
      </c>
      <c r="C66" s="10">
        <v>0</v>
      </c>
      <c r="D66" s="10">
        <v>0</v>
      </c>
      <c r="E66" s="10">
        <v>0</v>
      </c>
      <c r="F66" s="10">
        <v>0</v>
      </c>
      <c r="G66" s="10"/>
      <c r="H66" s="10"/>
      <c r="I66" s="1"/>
    </row>
    <row r="67" spans="1:9" x14ac:dyDescent="0.3">
      <c r="A67" s="1" t="s">
        <v>44</v>
      </c>
      <c r="B67" s="1">
        <v>536.79999999999995</v>
      </c>
      <c r="C67" s="1">
        <v>614.49</v>
      </c>
      <c r="D67" s="10">
        <v>0</v>
      </c>
      <c r="E67" s="1">
        <v>0.64</v>
      </c>
      <c r="F67" s="1">
        <v>1151.93</v>
      </c>
      <c r="G67" s="6">
        <f>(F67-F68)/F68</f>
        <v>0.21843201963148665</v>
      </c>
      <c r="H67" s="6">
        <f>F67/$F$76</f>
        <v>1.5045307805606468E-2</v>
      </c>
      <c r="I67" s="1">
        <v>206.51</v>
      </c>
    </row>
    <row r="68" spans="1:9" x14ac:dyDescent="0.3">
      <c r="A68" s="1" t="s">
        <v>11</v>
      </c>
      <c r="B68" s="1">
        <v>450.28</v>
      </c>
      <c r="C68" s="1">
        <v>493.58</v>
      </c>
      <c r="D68" s="10">
        <v>0</v>
      </c>
      <c r="E68" s="1">
        <v>1.56</v>
      </c>
      <c r="F68" s="1">
        <v>945.42</v>
      </c>
      <c r="G68" s="1"/>
      <c r="H68" s="1"/>
      <c r="I68" s="1"/>
    </row>
    <row r="69" spans="1:9" x14ac:dyDescent="0.3">
      <c r="A69" s="1" t="s">
        <v>45</v>
      </c>
      <c r="B69" s="1">
        <v>2.5299999999999998</v>
      </c>
      <c r="C69" s="1">
        <v>7.82</v>
      </c>
      <c r="D69" s="10">
        <v>0</v>
      </c>
      <c r="E69" s="10">
        <v>0</v>
      </c>
      <c r="F69" s="1">
        <v>10.35</v>
      </c>
      <c r="G69" s="10">
        <v>0</v>
      </c>
      <c r="H69" s="6">
        <f>F69/$F$76</f>
        <v>1.3518090143327019E-4</v>
      </c>
      <c r="I69" s="1">
        <v>10.35</v>
      </c>
    </row>
    <row r="70" spans="1:9" x14ac:dyDescent="0.3">
      <c r="A70" s="1" t="s">
        <v>11</v>
      </c>
      <c r="B70" s="10">
        <v>0</v>
      </c>
      <c r="C70" s="10">
        <v>0</v>
      </c>
      <c r="D70" s="10">
        <v>0</v>
      </c>
      <c r="E70" s="10">
        <v>0</v>
      </c>
      <c r="F70" s="10">
        <v>0</v>
      </c>
      <c r="G70" s="1"/>
      <c r="H70" s="1"/>
      <c r="I70" s="1"/>
    </row>
    <row r="71" spans="1:9" x14ac:dyDescent="0.3">
      <c r="A71" s="1" t="s">
        <v>46</v>
      </c>
      <c r="B71" s="1">
        <v>8957.7900000000009</v>
      </c>
      <c r="C71" s="1">
        <v>412.17</v>
      </c>
      <c r="D71" s="10">
        <v>0</v>
      </c>
      <c r="E71" s="1">
        <v>6.13</v>
      </c>
      <c r="F71" s="1">
        <v>9376.09</v>
      </c>
      <c r="G71" s="14">
        <f>(F71-F72)/F72</f>
        <v>5.4443442292942699E-2</v>
      </c>
      <c r="H71" s="6">
        <f>F71/$F$76</f>
        <v>0.12246070513231597</v>
      </c>
      <c r="I71" s="1">
        <v>484.11</v>
      </c>
    </row>
    <row r="72" spans="1:9" x14ac:dyDescent="0.3">
      <c r="A72" s="1" t="s">
        <v>11</v>
      </c>
      <c r="B72" s="1">
        <v>8129.41</v>
      </c>
      <c r="C72" s="1">
        <v>756.12</v>
      </c>
      <c r="D72" s="10">
        <v>0</v>
      </c>
      <c r="E72" s="1">
        <v>6.45</v>
      </c>
      <c r="F72" s="1">
        <v>8891.98</v>
      </c>
      <c r="G72" s="1"/>
      <c r="H72" s="1"/>
      <c r="I72" s="1"/>
    </row>
    <row r="73" spans="1:9" x14ac:dyDescent="0.3">
      <c r="A73" s="2" t="s">
        <v>47</v>
      </c>
      <c r="B73" s="2">
        <f>SUM(B59+B61+B63+B65+B67+B69+B71)</f>
        <v>16581.580000000002</v>
      </c>
      <c r="C73" s="2">
        <f>SUM(C59+C61+C63+C65+C67+C69+C71)</f>
        <v>6156.53</v>
      </c>
      <c r="D73" s="4">
        <v>0</v>
      </c>
      <c r="E73" s="2">
        <f>SUM(E59+E61+E63+E65+E67+E69+E71)</f>
        <v>112.64999999999999</v>
      </c>
      <c r="F73" s="2">
        <f>SUM(F59+F61+F63+F65+F67+F69+F71)</f>
        <v>22850.760000000002</v>
      </c>
      <c r="G73" s="7">
        <f>(F73-F74)/F74</f>
        <v>0.11879438614014112</v>
      </c>
      <c r="H73" s="7">
        <f>F73/$F$76</f>
        <v>0.29845278601307373</v>
      </c>
      <c r="I73" s="2">
        <f>SUM(I59+I61+I63+I65+I67+I69+I71)</f>
        <v>2426.31</v>
      </c>
    </row>
    <row r="74" spans="1:9" ht="15" customHeight="1" x14ac:dyDescent="0.3">
      <c r="A74" s="1" t="s">
        <v>37</v>
      </c>
      <c r="B74" s="1">
        <f>SUM(B60+B62+B64+B66+B68+B70+B72)</f>
        <v>14633.82</v>
      </c>
      <c r="C74" s="1">
        <f>SUM(C60+C62+C64+C66+C68+C70+C72)</f>
        <v>5656.0599999999995</v>
      </c>
      <c r="D74" s="13">
        <v>0</v>
      </c>
      <c r="E74" s="1">
        <f>SUM(E60+E62+E64+E66+E68+E70+E72)</f>
        <v>134.57</v>
      </c>
      <c r="F74" s="1">
        <f>SUM(F60+F62+F64+F66+F68+F70+F72)</f>
        <v>20424.449999999997</v>
      </c>
      <c r="G74" s="1"/>
      <c r="H74" s="1"/>
      <c r="I74" s="1"/>
    </row>
    <row r="75" spans="1:9" x14ac:dyDescent="0.3">
      <c r="A75" s="1" t="s">
        <v>38</v>
      </c>
      <c r="B75" s="14">
        <f t="shared" ref="B75:C75" si="3">(B73-B74)/B74</f>
        <v>0.13309990146113607</v>
      </c>
      <c r="C75" s="14">
        <f t="shared" si="3"/>
        <v>8.8483856253292983E-2</v>
      </c>
      <c r="D75" s="10">
        <v>0</v>
      </c>
      <c r="E75" s="14">
        <f t="shared" ref="E75:F75" si="4">(E73-E74)/E74</f>
        <v>-0.16288920264546336</v>
      </c>
      <c r="F75" s="14">
        <f t="shared" si="4"/>
        <v>0.11879438614014112</v>
      </c>
      <c r="G75" s="1"/>
      <c r="H75" s="1"/>
      <c r="I75" s="1"/>
    </row>
    <row r="76" spans="1:9" x14ac:dyDescent="0.3">
      <c r="A76" s="2" t="s">
        <v>48</v>
      </c>
      <c r="B76" s="5">
        <f t="shared" ref="B76:F77" si="5">SUM(B55+B73)</f>
        <v>28533.310000000005</v>
      </c>
      <c r="C76" s="5">
        <f t="shared" si="5"/>
        <v>42098.799999999988</v>
      </c>
      <c r="D76" s="5">
        <f t="shared" si="5"/>
        <v>4971.1799999999994</v>
      </c>
      <c r="E76" s="5">
        <f t="shared" si="5"/>
        <v>960.78000000000009</v>
      </c>
      <c r="F76" s="5">
        <f t="shared" si="5"/>
        <v>76564.070000000007</v>
      </c>
      <c r="G76" s="7">
        <f>(F76-F77)/F77</f>
        <v>7.0251511111726492E-2</v>
      </c>
      <c r="H76" s="7">
        <f>F76/$F$76</f>
        <v>1</v>
      </c>
      <c r="I76" s="5">
        <f t="shared" ref="I76" si="6">SUM(I55+I73)</f>
        <v>5025.68</v>
      </c>
    </row>
    <row r="77" spans="1:9" x14ac:dyDescent="0.3">
      <c r="A77" s="1" t="s">
        <v>37</v>
      </c>
      <c r="B77" s="10">
        <f t="shared" si="5"/>
        <v>25575.599999999999</v>
      </c>
      <c r="C77" s="10">
        <f t="shared" si="5"/>
        <v>38216.049999999996</v>
      </c>
      <c r="D77" s="10">
        <f t="shared" si="5"/>
        <v>6849.34</v>
      </c>
      <c r="E77" s="10">
        <f t="shared" si="5"/>
        <v>897.39999999999986</v>
      </c>
      <c r="F77" s="10">
        <f t="shared" si="5"/>
        <v>71538.389999999985</v>
      </c>
      <c r="G77" s="1"/>
      <c r="H77" s="1"/>
      <c r="I77" s="1"/>
    </row>
    <row r="78" spans="1:9" x14ac:dyDescent="0.3">
      <c r="A78" s="1" t="s">
        <v>38</v>
      </c>
      <c r="B78" s="14">
        <f t="shared" ref="B78:F78" si="7">(B76-B77)/B77</f>
        <v>0.11564577175120062</v>
      </c>
      <c r="C78" s="14">
        <f t="shared" si="7"/>
        <v>0.1015999822064288</v>
      </c>
      <c r="D78" s="14">
        <f t="shared" si="7"/>
        <v>-0.27421036187428288</v>
      </c>
      <c r="E78" s="14">
        <f t="shared" si="7"/>
        <v>7.0626253621573695E-2</v>
      </c>
      <c r="F78" s="14">
        <f t="shared" si="7"/>
        <v>7.0251511111726492E-2</v>
      </c>
      <c r="G78" s="1"/>
      <c r="H78" s="1"/>
      <c r="I78" s="1"/>
    </row>
    <row r="79" spans="1:9" x14ac:dyDescent="0.3">
      <c r="A79" s="1" t="s">
        <v>49</v>
      </c>
      <c r="B79" s="6">
        <f>B76/$F$76</f>
        <v>0.37267232528260319</v>
      </c>
      <c r="C79" s="6">
        <f t="shared" ref="C79:F79" si="8">C76/$F$76</f>
        <v>0.54985060224724192</v>
      </c>
      <c r="D79" s="6">
        <f t="shared" si="8"/>
        <v>6.4928366530149176E-2</v>
      </c>
      <c r="E79" s="6">
        <f t="shared" si="8"/>
        <v>1.2548705940005541E-2</v>
      </c>
      <c r="F79" s="6">
        <f t="shared" si="8"/>
        <v>1</v>
      </c>
      <c r="G79" s="1"/>
      <c r="H79" s="1"/>
      <c r="I79" s="1"/>
    </row>
    <row r="80" spans="1:9" x14ac:dyDescent="0.3">
      <c r="A80" s="1" t="s">
        <v>50</v>
      </c>
      <c r="B80" s="6">
        <f>B77/$F$77</f>
        <v>0.35750874460551885</v>
      </c>
      <c r="C80" s="6">
        <f>C77/$F$77</f>
        <v>0.53420338366574927</v>
      </c>
      <c r="D80" s="6">
        <f>D77/$F$77</f>
        <v>9.5743558109149529E-2</v>
      </c>
      <c r="E80" s="6">
        <f>E77/$F$77</f>
        <v>1.2544313619582437E-2</v>
      </c>
      <c r="F80" s="6">
        <f>F77/$F$77</f>
        <v>1</v>
      </c>
      <c r="G80" s="1"/>
      <c r="H80" s="1"/>
      <c r="I80" s="1"/>
    </row>
    <row r="82" spans="1:9" ht="63" customHeight="1" x14ac:dyDescent="0.3">
      <c r="A82" s="21" t="s">
        <v>75</v>
      </c>
      <c r="B82" s="21"/>
      <c r="C82" s="21"/>
      <c r="D82" s="21"/>
      <c r="E82" s="21"/>
      <c r="F82" s="21"/>
      <c r="G82" s="21"/>
      <c r="H82" s="21"/>
      <c r="I82" s="21"/>
    </row>
  </sheetData>
  <mergeCells count="2">
    <mergeCell ref="A2:I2"/>
    <mergeCell ref="A82:I8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R61"/>
  <sheetViews>
    <sheetView workbookViewId="0">
      <selection activeCell="G68" sqref="G68"/>
    </sheetView>
  </sheetViews>
  <sheetFormatPr defaultRowHeight="14.4" x14ac:dyDescent="0.3"/>
  <cols>
    <col min="1" max="1" width="40.77734375" style="8" bestFit="1" customWidth="1"/>
    <col min="2" max="2" width="13.21875" style="8" customWidth="1"/>
    <col min="3" max="3" width="11.6640625" style="8" customWidth="1"/>
    <col min="4" max="4" width="10.44140625" style="8" customWidth="1"/>
    <col min="5" max="5" width="10.6640625" style="8" customWidth="1"/>
    <col min="6" max="6" width="12.44140625" style="8" customWidth="1"/>
    <col min="7" max="16384" width="8.88671875" style="8"/>
  </cols>
  <sheetData>
    <row r="2" spans="1:9" ht="52.2" customHeight="1" x14ac:dyDescent="0.3">
      <c r="A2" s="20" t="s">
        <v>0</v>
      </c>
      <c r="B2" s="20"/>
      <c r="C2" s="20"/>
      <c r="D2" s="20"/>
      <c r="E2" s="20"/>
      <c r="F2" s="20"/>
      <c r="G2" s="20"/>
      <c r="H2" s="20"/>
      <c r="I2" s="20"/>
    </row>
    <row r="3" spans="1:9" ht="40.799999999999997" customHeight="1" x14ac:dyDescent="0.3">
      <c r="A3" s="9"/>
      <c r="B3" s="9" t="s">
        <v>51</v>
      </c>
      <c r="C3" s="9" t="s">
        <v>52</v>
      </c>
      <c r="D3" s="9" t="s">
        <v>53</v>
      </c>
      <c r="E3" s="9" t="s">
        <v>54</v>
      </c>
      <c r="F3" s="9" t="s">
        <v>5</v>
      </c>
      <c r="G3" s="9" t="s">
        <v>6</v>
      </c>
      <c r="H3" s="9" t="s">
        <v>7</v>
      </c>
      <c r="I3" s="9" t="s">
        <v>8</v>
      </c>
    </row>
    <row r="4" spans="1:9" x14ac:dyDescent="0.3">
      <c r="A4" s="9" t="s">
        <v>9</v>
      </c>
      <c r="B4" s="11"/>
      <c r="C4" s="11"/>
      <c r="D4" s="11"/>
      <c r="E4" s="11"/>
      <c r="F4" s="11"/>
      <c r="G4" s="11"/>
      <c r="H4" s="11"/>
      <c r="I4" s="11"/>
    </row>
    <row r="5" spans="1:9" x14ac:dyDescent="0.3">
      <c r="A5" s="11" t="s">
        <v>10</v>
      </c>
      <c r="B5" s="11">
        <v>0</v>
      </c>
      <c r="C5" s="11">
        <v>0</v>
      </c>
      <c r="D5" s="11">
        <v>0</v>
      </c>
      <c r="E5" s="11">
        <v>24.22</v>
      </c>
      <c r="F5" s="11">
        <v>24.22</v>
      </c>
      <c r="G5" s="6">
        <f>(F5-F6)/F6</f>
        <v>-0.45670704351727232</v>
      </c>
      <c r="H5" s="6">
        <f>F5/$F$55</f>
        <v>6.3519871596494073E-3</v>
      </c>
      <c r="I5" s="11">
        <v>-20.36</v>
      </c>
    </row>
    <row r="6" spans="1:9" x14ac:dyDescent="0.3">
      <c r="A6" s="11" t="s">
        <v>11</v>
      </c>
      <c r="B6" s="11">
        <v>0</v>
      </c>
      <c r="C6" s="11">
        <v>0</v>
      </c>
      <c r="D6" s="11">
        <v>0</v>
      </c>
      <c r="E6" s="11">
        <v>44.58</v>
      </c>
      <c r="F6" s="11">
        <v>44.58</v>
      </c>
      <c r="G6" s="11"/>
      <c r="H6" s="11"/>
      <c r="I6" s="11"/>
    </row>
    <row r="7" spans="1:9" x14ac:dyDescent="0.3">
      <c r="A7" s="11" t="s">
        <v>12</v>
      </c>
      <c r="B7" s="11">
        <v>50.73</v>
      </c>
      <c r="C7" s="11">
        <v>7.44</v>
      </c>
      <c r="D7" s="11">
        <v>66.900000000000006</v>
      </c>
      <c r="E7" s="11">
        <v>433.23</v>
      </c>
      <c r="F7" s="11">
        <v>558.29999999999995</v>
      </c>
      <c r="G7" s="6">
        <f>(F7-F8)/F8</f>
        <v>0.17117684078036494</v>
      </c>
      <c r="H7" s="6">
        <f>F7/$F$55</f>
        <v>0.14642090962973839</v>
      </c>
      <c r="I7" s="11">
        <v>81.599999999999994</v>
      </c>
    </row>
    <row r="8" spans="1:9" x14ac:dyDescent="0.3">
      <c r="A8" s="11" t="s">
        <v>11</v>
      </c>
      <c r="B8" s="11">
        <v>44.53</v>
      </c>
      <c r="C8" s="11">
        <v>0.36</v>
      </c>
      <c r="D8" s="11">
        <v>61.45</v>
      </c>
      <c r="E8" s="11">
        <v>370.36</v>
      </c>
      <c r="F8" s="11">
        <v>476.7</v>
      </c>
      <c r="G8" s="11"/>
      <c r="H8" s="11"/>
      <c r="I8" s="11"/>
    </row>
    <row r="9" spans="1:9" x14ac:dyDescent="0.3">
      <c r="A9" s="11" t="s">
        <v>13</v>
      </c>
      <c r="B9" s="11">
        <v>7.13</v>
      </c>
      <c r="C9" s="11">
        <v>10.5</v>
      </c>
      <c r="D9" s="11">
        <v>1.03</v>
      </c>
      <c r="E9" s="11">
        <v>0</v>
      </c>
      <c r="F9" s="11">
        <v>18.66</v>
      </c>
      <c r="G9" s="6">
        <f>(F9-F10)/F10</f>
        <v>0.12817412333736403</v>
      </c>
      <c r="H9" s="6">
        <f>F9/$F$55</f>
        <v>4.8938100907951259E-3</v>
      </c>
      <c r="I9" s="11">
        <v>2.12</v>
      </c>
    </row>
    <row r="10" spans="1:9" x14ac:dyDescent="0.3">
      <c r="A10" s="11" t="s">
        <v>11</v>
      </c>
      <c r="B10" s="11">
        <v>6.28</v>
      </c>
      <c r="C10" s="11">
        <v>9.0299999999999994</v>
      </c>
      <c r="D10" s="11">
        <v>1.23</v>
      </c>
      <c r="E10" s="11">
        <v>0</v>
      </c>
      <c r="F10" s="11">
        <v>16.54</v>
      </c>
      <c r="G10" s="11"/>
      <c r="H10" s="11"/>
      <c r="I10" s="11"/>
    </row>
    <row r="11" spans="1:9" x14ac:dyDescent="0.3">
      <c r="A11" s="11" t="s">
        <v>14</v>
      </c>
      <c r="B11" s="11">
        <v>22.93</v>
      </c>
      <c r="C11" s="11">
        <v>0.34</v>
      </c>
      <c r="D11" s="11">
        <v>22.17</v>
      </c>
      <c r="E11" s="11">
        <v>0</v>
      </c>
      <c r="F11" s="11">
        <v>45.44</v>
      </c>
      <c r="G11" s="6">
        <f>(F11-F12)/F12</f>
        <v>5.5762081784386588E-2</v>
      </c>
      <c r="H11" s="6">
        <f>F11/$F$55</f>
        <v>1.1917188131068086E-2</v>
      </c>
      <c r="I11" s="11">
        <v>2.4</v>
      </c>
    </row>
    <row r="12" spans="1:9" x14ac:dyDescent="0.3">
      <c r="A12" s="11" t="s">
        <v>11</v>
      </c>
      <c r="B12" s="11">
        <v>22.64</v>
      </c>
      <c r="C12" s="11">
        <v>0.12</v>
      </c>
      <c r="D12" s="11">
        <v>20.28</v>
      </c>
      <c r="E12" s="11">
        <v>0</v>
      </c>
      <c r="F12" s="11">
        <v>43.04</v>
      </c>
      <c r="G12" s="11"/>
      <c r="H12" s="11"/>
      <c r="I12" s="11"/>
    </row>
    <row r="13" spans="1:9" x14ac:dyDescent="0.3">
      <c r="A13" s="11" t="s">
        <v>15</v>
      </c>
      <c r="B13" s="11">
        <v>49.74</v>
      </c>
      <c r="C13" s="11">
        <v>0.89</v>
      </c>
      <c r="D13" s="11">
        <v>0</v>
      </c>
      <c r="E13" s="11">
        <v>103.91</v>
      </c>
      <c r="F13" s="11">
        <v>154.54</v>
      </c>
      <c r="G13" s="6">
        <f>(F13-F14)/F14</f>
        <v>0.88578401464307488</v>
      </c>
      <c r="H13" s="6">
        <f>F13/$F$55</f>
        <v>4.0529979176392214E-2</v>
      </c>
      <c r="I13" s="11">
        <v>72.59</v>
      </c>
    </row>
    <row r="14" spans="1:9" x14ac:dyDescent="0.3">
      <c r="A14" s="11" t="s">
        <v>11</v>
      </c>
      <c r="B14" s="11">
        <v>44.26</v>
      </c>
      <c r="C14" s="11">
        <v>0.12</v>
      </c>
      <c r="D14" s="11">
        <v>0</v>
      </c>
      <c r="E14" s="11">
        <v>37.57</v>
      </c>
      <c r="F14" s="11">
        <v>81.95</v>
      </c>
      <c r="G14" s="11"/>
      <c r="H14" s="11"/>
      <c r="I14" s="11"/>
    </row>
    <row r="15" spans="1:9" x14ac:dyDescent="0.3">
      <c r="A15" s="11" t="s">
        <v>16</v>
      </c>
      <c r="B15" s="11">
        <v>23.13</v>
      </c>
      <c r="C15" s="11">
        <v>6.27</v>
      </c>
      <c r="D15" s="11">
        <v>7.0000000000000007E-2</v>
      </c>
      <c r="E15" s="11">
        <v>440.84</v>
      </c>
      <c r="F15" s="11">
        <v>470.31</v>
      </c>
      <c r="G15" s="6">
        <f>(F15-F16)/F16</f>
        <v>-3.960354102249152E-3</v>
      </c>
      <c r="H15" s="6">
        <f>F15/$F$55</f>
        <v>0.12334447072893116</v>
      </c>
      <c r="I15" s="11">
        <v>-1.87</v>
      </c>
    </row>
    <row r="16" spans="1:9" x14ac:dyDescent="0.3">
      <c r="A16" s="11" t="s">
        <v>11</v>
      </c>
      <c r="B16" s="11">
        <v>20</v>
      </c>
      <c r="C16" s="11">
        <v>2.06</v>
      </c>
      <c r="D16" s="11">
        <v>0.11</v>
      </c>
      <c r="E16" s="11">
        <v>450.01</v>
      </c>
      <c r="F16" s="11">
        <v>472.18</v>
      </c>
      <c r="G16" s="11"/>
      <c r="H16" s="11"/>
      <c r="I16" s="11"/>
    </row>
    <row r="17" spans="1:9" x14ac:dyDescent="0.3">
      <c r="A17" s="11" t="s">
        <v>17</v>
      </c>
      <c r="B17" s="11">
        <v>124.76</v>
      </c>
      <c r="C17" s="11">
        <v>10.16</v>
      </c>
      <c r="D17" s="11">
        <v>0.11</v>
      </c>
      <c r="E17" s="11">
        <v>505.92</v>
      </c>
      <c r="F17" s="11">
        <v>640.95000000000005</v>
      </c>
      <c r="G17" s="6">
        <f>(F17-F18)/F18</f>
        <v>-6.2815282712637519E-2</v>
      </c>
      <c r="H17" s="6">
        <f>F17/$F$55</f>
        <v>0.16809686911549496</v>
      </c>
      <c r="I17" s="11">
        <v>-42.96</v>
      </c>
    </row>
    <row r="18" spans="1:9" x14ac:dyDescent="0.3">
      <c r="A18" s="11" t="s">
        <v>11</v>
      </c>
      <c r="B18" s="11">
        <v>103.09</v>
      </c>
      <c r="C18" s="11">
        <v>0.54</v>
      </c>
      <c r="D18" s="11">
        <v>0.05</v>
      </c>
      <c r="E18" s="11">
        <v>580.23</v>
      </c>
      <c r="F18" s="11">
        <v>683.91</v>
      </c>
      <c r="G18" s="11"/>
      <c r="H18" s="11"/>
      <c r="I18" s="11"/>
    </row>
    <row r="19" spans="1:9" x14ac:dyDescent="0.3">
      <c r="A19" s="11" t="s">
        <v>18</v>
      </c>
      <c r="B19" s="11">
        <v>43.15</v>
      </c>
      <c r="C19" s="11">
        <v>43.23</v>
      </c>
      <c r="D19" s="11">
        <v>3.79</v>
      </c>
      <c r="E19" s="11">
        <v>118.54</v>
      </c>
      <c r="F19" s="11">
        <v>208.71</v>
      </c>
      <c r="G19" s="6">
        <f>(F19-F20)/F20</f>
        <v>0.3196130500758726</v>
      </c>
      <c r="H19" s="6">
        <f>F19/$F$55</f>
        <v>5.473671511521172E-2</v>
      </c>
      <c r="I19" s="11">
        <v>50.55</v>
      </c>
    </row>
    <row r="20" spans="1:9" x14ac:dyDescent="0.3">
      <c r="A20" s="11" t="s">
        <v>11</v>
      </c>
      <c r="B20" s="11">
        <v>35.409999999999997</v>
      </c>
      <c r="C20" s="11">
        <v>38.090000000000003</v>
      </c>
      <c r="D20" s="11">
        <v>3.49</v>
      </c>
      <c r="E20" s="11">
        <v>81.17</v>
      </c>
      <c r="F20" s="11">
        <v>158.16</v>
      </c>
      <c r="G20" s="11"/>
      <c r="H20" s="11"/>
      <c r="I20" s="11"/>
    </row>
    <row r="21" spans="1:9" x14ac:dyDescent="0.3">
      <c r="A21" s="11" t="s">
        <v>19</v>
      </c>
      <c r="B21" s="11">
        <v>0</v>
      </c>
      <c r="C21" s="11">
        <v>0</v>
      </c>
      <c r="D21" s="11">
        <v>0</v>
      </c>
      <c r="E21" s="11">
        <v>0</v>
      </c>
      <c r="F21" s="11">
        <v>0</v>
      </c>
      <c r="G21" s="11">
        <v>0</v>
      </c>
      <c r="H21" s="11">
        <v>0</v>
      </c>
      <c r="I21" s="11">
        <v>0</v>
      </c>
    </row>
    <row r="22" spans="1:9" x14ac:dyDescent="0.3">
      <c r="A22" s="11" t="s">
        <v>11</v>
      </c>
      <c r="B22" s="11">
        <v>0</v>
      </c>
      <c r="C22" s="11">
        <v>0</v>
      </c>
      <c r="D22" s="11">
        <v>0</v>
      </c>
      <c r="E22" s="11">
        <v>0</v>
      </c>
      <c r="F22" s="11">
        <v>0</v>
      </c>
      <c r="G22" s="11"/>
      <c r="H22" s="11"/>
      <c r="I22" s="11"/>
    </row>
    <row r="23" spans="1:9" x14ac:dyDescent="0.3">
      <c r="A23" s="11" t="s">
        <v>20</v>
      </c>
      <c r="B23" s="11">
        <v>4.6399999999999997</v>
      </c>
      <c r="C23" s="11">
        <v>0.39</v>
      </c>
      <c r="D23" s="11">
        <v>0</v>
      </c>
      <c r="E23" s="11">
        <v>25.54</v>
      </c>
      <c r="F23" s="11">
        <v>30.57</v>
      </c>
      <c r="G23" s="6">
        <f>(F23-F24)/F24</f>
        <v>1.3771384136858478</v>
      </c>
      <c r="H23" s="6">
        <f>F23/$F$55</f>
        <v>8.0173512580711138E-3</v>
      </c>
      <c r="I23" s="11">
        <v>17.71</v>
      </c>
    </row>
    <row r="24" spans="1:9" x14ac:dyDescent="0.3">
      <c r="A24" s="11" t="s">
        <v>11</v>
      </c>
      <c r="B24" s="11">
        <v>3.3</v>
      </c>
      <c r="C24" s="11">
        <v>0.01</v>
      </c>
      <c r="D24" s="11">
        <v>0</v>
      </c>
      <c r="E24" s="11">
        <v>9.5500000000000007</v>
      </c>
      <c r="F24" s="11">
        <v>12.86</v>
      </c>
      <c r="G24" s="11"/>
      <c r="H24" s="11"/>
      <c r="I24" s="11"/>
    </row>
    <row r="25" spans="1:9" x14ac:dyDescent="0.3">
      <c r="A25" s="11" t="s">
        <v>21</v>
      </c>
      <c r="B25" s="11">
        <v>6.97</v>
      </c>
      <c r="C25" s="11">
        <v>0.4</v>
      </c>
      <c r="D25" s="11">
        <v>0.01</v>
      </c>
      <c r="E25" s="11">
        <v>55.33</v>
      </c>
      <c r="F25" s="11">
        <v>62.71</v>
      </c>
      <c r="G25" s="6">
        <f>(F25-F26)/F26</f>
        <v>8.7393792266342973E-2</v>
      </c>
      <c r="H25" s="6">
        <f>F25/$F$55</f>
        <v>1.6446453954649644E-2</v>
      </c>
      <c r="I25" s="11">
        <v>5.04</v>
      </c>
    </row>
    <row r="26" spans="1:9" x14ac:dyDescent="0.3">
      <c r="A26" s="11" t="s">
        <v>11</v>
      </c>
      <c r="B26" s="11">
        <v>5.78</v>
      </c>
      <c r="C26" s="11">
        <v>0.02</v>
      </c>
      <c r="D26" s="11">
        <v>0.01</v>
      </c>
      <c r="E26" s="11">
        <v>51.86</v>
      </c>
      <c r="F26" s="11">
        <v>57.67</v>
      </c>
      <c r="G26" s="11"/>
      <c r="H26" s="11"/>
      <c r="I26" s="11"/>
    </row>
    <row r="27" spans="1:9" x14ac:dyDescent="0.3">
      <c r="A27" s="11" t="s">
        <v>22</v>
      </c>
      <c r="B27" s="11">
        <v>33.31</v>
      </c>
      <c r="C27" s="11">
        <v>1.06</v>
      </c>
      <c r="D27" s="11">
        <v>2.77</v>
      </c>
      <c r="E27" s="11">
        <v>139.65</v>
      </c>
      <c r="F27" s="11">
        <v>176.79</v>
      </c>
      <c r="G27" s="6">
        <f>(F27-F28)/F28</f>
        <v>-0.25161918469288408</v>
      </c>
      <c r="H27" s="6">
        <f>F27/$F$55</f>
        <v>4.6365310072436772E-2</v>
      </c>
      <c r="I27" s="11">
        <v>-59.44</v>
      </c>
    </row>
    <row r="28" spans="1:9" x14ac:dyDescent="0.3">
      <c r="A28" s="11" t="s">
        <v>11</v>
      </c>
      <c r="B28" s="11">
        <v>31.38</v>
      </c>
      <c r="C28" s="11">
        <v>0.56999999999999995</v>
      </c>
      <c r="D28" s="11">
        <v>2.39</v>
      </c>
      <c r="E28" s="11">
        <v>201.89</v>
      </c>
      <c r="F28" s="11">
        <v>236.23</v>
      </c>
      <c r="G28" s="11"/>
      <c r="H28" s="11"/>
      <c r="I28" s="11"/>
    </row>
    <row r="29" spans="1:9" x14ac:dyDescent="0.3">
      <c r="A29" s="11" t="s">
        <v>23</v>
      </c>
      <c r="B29" s="11">
        <v>0</v>
      </c>
      <c r="C29" s="11">
        <v>0</v>
      </c>
      <c r="D29" s="11">
        <v>0</v>
      </c>
      <c r="E29" s="11">
        <v>0</v>
      </c>
      <c r="F29" s="11">
        <v>0</v>
      </c>
      <c r="G29" s="11">
        <v>0</v>
      </c>
      <c r="H29" s="11">
        <v>0</v>
      </c>
      <c r="I29" s="11">
        <v>0</v>
      </c>
    </row>
    <row r="30" spans="1:9" x14ac:dyDescent="0.3">
      <c r="A30" s="11" t="s">
        <v>11</v>
      </c>
      <c r="B30" s="11">
        <v>0</v>
      </c>
      <c r="C30" s="11">
        <v>0</v>
      </c>
      <c r="D30" s="11">
        <v>0</v>
      </c>
      <c r="E30" s="11">
        <v>0</v>
      </c>
      <c r="F30" s="11">
        <v>0</v>
      </c>
      <c r="G30" s="11"/>
      <c r="H30" s="11"/>
      <c r="I30" s="11"/>
    </row>
    <row r="31" spans="1:9" x14ac:dyDescent="0.3">
      <c r="A31" s="11" t="s">
        <v>24</v>
      </c>
      <c r="B31" s="11">
        <v>3.88</v>
      </c>
      <c r="C31" s="11">
        <v>0.02</v>
      </c>
      <c r="D31" s="11">
        <v>2.62</v>
      </c>
      <c r="E31" s="11">
        <v>38.049999999999997</v>
      </c>
      <c r="F31" s="11">
        <v>44.57</v>
      </c>
      <c r="G31" s="11">
        <v>23.84</v>
      </c>
      <c r="H31" s="11">
        <v>1.17</v>
      </c>
      <c r="I31" s="11">
        <v>8.58</v>
      </c>
    </row>
    <row r="32" spans="1:9" x14ac:dyDescent="0.3">
      <c r="A32" s="11" t="s">
        <v>11</v>
      </c>
      <c r="B32" s="11">
        <v>2.5099999999999998</v>
      </c>
      <c r="C32" s="11">
        <v>0.02</v>
      </c>
      <c r="D32" s="11">
        <v>1.98</v>
      </c>
      <c r="E32" s="11">
        <v>31.48</v>
      </c>
      <c r="F32" s="11">
        <v>35.99</v>
      </c>
      <c r="G32" s="11"/>
      <c r="H32" s="11"/>
      <c r="I32" s="11"/>
    </row>
    <row r="33" spans="1:12" x14ac:dyDescent="0.3">
      <c r="A33" s="11" t="s">
        <v>25</v>
      </c>
      <c r="B33" s="11">
        <v>16.510000000000002</v>
      </c>
      <c r="C33" s="11">
        <v>2.95</v>
      </c>
      <c r="D33" s="11">
        <v>0.85</v>
      </c>
      <c r="E33" s="11">
        <v>48.72</v>
      </c>
      <c r="F33" s="11">
        <v>69.03</v>
      </c>
      <c r="G33" s="6">
        <f>(F33-F34)/F34</f>
        <v>7.7583515454261606E-2</v>
      </c>
      <c r="H33" s="6">
        <f>F33/$F$55</f>
        <v>1.8103950191189041E-2</v>
      </c>
      <c r="I33" s="11">
        <v>4.97</v>
      </c>
    </row>
    <row r="34" spans="1:12" x14ac:dyDescent="0.3">
      <c r="A34" s="11" t="s">
        <v>11</v>
      </c>
      <c r="B34" s="11">
        <v>17.809999999999999</v>
      </c>
      <c r="C34" s="11">
        <v>1.01</v>
      </c>
      <c r="D34" s="11">
        <v>0.75</v>
      </c>
      <c r="E34" s="11">
        <v>44.49</v>
      </c>
      <c r="F34" s="11">
        <v>64.06</v>
      </c>
      <c r="G34" s="11"/>
      <c r="H34" s="11"/>
      <c r="I34" s="11"/>
    </row>
    <row r="35" spans="1:12" x14ac:dyDescent="0.3">
      <c r="A35" s="11" t="s">
        <v>26</v>
      </c>
      <c r="B35" s="11">
        <v>9.8000000000000007</v>
      </c>
      <c r="C35" s="11">
        <v>6.55</v>
      </c>
      <c r="D35" s="11">
        <v>0.59</v>
      </c>
      <c r="E35" s="11">
        <v>0</v>
      </c>
      <c r="F35" s="11">
        <v>16.940000000000001</v>
      </c>
      <c r="G35" s="6">
        <f>(F35-F36)/F36</f>
        <v>0.36833602584814218</v>
      </c>
      <c r="H35" s="6">
        <f>F35/$F$55</f>
        <v>4.4427193428761757E-3</v>
      </c>
      <c r="I35" s="11">
        <v>4.5599999999999996</v>
      </c>
    </row>
    <row r="36" spans="1:12" x14ac:dyDescent="0.3">
      <c r="A36" s="11" t="s">
        <v>11</v>
      </c>
      <c r="B36" s="11">
        <v>6.56</v>
      </c>
      <c r="C36" s="11">
        <v>4.7699999999999996</v>
      </c>
      <c r="D36" s="11">
        <v>1.05</v>
      </c>
      <c r="E36" s="11">
        <v>0</v>
      </c>
      <c r="F36" s="11">
        <v>12.38</v>
      </c>
      <c r="G36" s="11"/>
      <c r="H36" s="11"/>
      <c r="I36" s="11"/>
    </row>
    <row r="37" spans="1:12" x14ac:dyDescent="0.3">
      <c r="A37" s="11" t="s">
        <v>27</v>
      </c>
      <c r="B37" s="11">
        <v>6.27</v>
      </c>
      <c r="C37" s="11">
        <v>2.93</v>
      </c>
      <c r="D37" s="11">
        <v>0.34</v>
      </c>
      <c r="E37" s="11">
        <v>70.88</v>
      </c>
      <c r="F37" s="11">
        <v>80.42</v>
      </c>
      <c r="G37" s="6">
        <f>(F37-F38)/F38</f>
        <v>0.37235494880546077</v>
      </c>
      <c r="H37" s="6">
        <f>F37/$F$55</f>
        <v>2.1091115085838372E-2</v>
      </c>
      <c r="I37" s="11">
        <v>21.82</v>
      </c>
    </row>
    <row r="38" spans="1:12" x14ac:dyDescent="0.3">
      <c r="A38" s="11" t="s">
        <v>11</v>
      </c>
      <c r="B38" s="11">
        <v>5.77</v>
      </c>
      <c r="C38" s="11">
        <v>0.11</v>
      </c>
      <c r="D38" s="11">
        <v>0.31</v>
      </c>
      <c r="E38" s="11">
        <v>52.41</v>
      </c>
      <c r="F38" s="11">
        <v>58.6</v>
      </c>
      <c r="G38" s="11"/>
      <c r="H38" s="11"/>
      <c r="I38" s="11"/>
      <c r="L38" s="6">
        <f>J38/$F$55</f>
        <v>0</v>
      </c>
    </row>
    <row r="39" spans="1:12" x14ac:dyDescent="0.3">
      <c r="A39" s="11" t="s">
        <v>28</v>
      </c>
      <c r="B39" s="11">
        <v>3.99</v>
      </c>
      <c r="C39" s="11">
        <v>0.02</v>
      </c>
      <c r="D39" s="11">
        <v>0</v>
      </c>
      <c r="E39" s="11">
        <v>2.2799999999999998</v>
      </c>
      <c r="F39" s="11">
        <v>6.29</v>
      </c>
      <c r="G39" s="6">
        <f>(F39-F40)/F40</f>
        <v>0.14781021897810212</v>
      </c>
      <c r="H39" s="6">
        <f>F39/$F$55</f>
        <v>1.6496283746570922E-3</v>
      </c>
      <c r="I39" s="11">
        <v>0.81</v>
      </c>
    </row>
    <row r="40" spans="1:12" x14ac:dyDescent="0.3">
      <c r="A40" s="11" t="s">
        <v>11</v>
      </c>
      <c r="B40" s="11">
        <v>3.85</v>
      </c>
      <c r="C40" s="11">
        <v>0.01</v>
      </c>
      <c r="D40" s="11">
        <v>0</v>
      </c>
      <c r="E40" s="11">
        <v>1.62</v>
      </c>
      <c r="F40" s="11">
        <v>5.48</v>
      </c>
      <c r="G40" s="11"/>
      <c r="H40" s="11"/>
      <c r="I40" s="11"/>
    </row>
    <row r="41" spans="1:12" x14ac:dyDescent="0.3">
      <c r="A41" s="11" t="s">
        <v>29</v>
      </c>
      <c r="B41" s="11">
        <v>50.44</v>
      </c>
      <c r="C41" s="11">
        <v>0</v>
      </c>
      <c r="D41" s="11">
        <v>12.28</v>
      </c>
      <c r="E41" s="11">
        <v>487.19</v>
      </c>
      <c r="F41" s="11">
        <v>549.91</v>
      </c>
      <c r="G41" s="6">
        <f>(F41-F42)/F42</f>
        <v>7.2890449712223235E-2</v>
      </c>
      <c r="H41" s="6">
        <f>F41/$F$55</f>
        <v>0.1442205309233198</v>
      </c>
      <c r="I41" s="11">
        <v>37.36</v>
      </c>
    </row>
    <row r="42" spans="1:12" x14ac:dyDescent="0.3">
      <c r="A42" s="11" t="s">
        <v>11</v>
      </c>
      <c r="B42" s="11">
        <v>44.82</v>
      </c>
      <c r="C42" s="11">
        <v>0</v>
      </c>
      <c r="D42" s="11">
        <v>9.06</v>
      </c>
      <c r="E42" s="11">
        <v>458.67</v>
      </c>
      <c r="F42" s="11">
        <v>512.54999999999995</v>
      </c>
      <c r="G42" s="11"/>
      <c r="H42" s="11"/>
      <c r="I42" s="11"/>
    </row>
    <row r="43" spans="1:12" x14ac:dyDescent="0.3">
      <c r="A43" s="11" t="s">
        <v>30</v>
      </c>
      <c r="B43" s="11">
        <v>78.09</v>
      </c>
      <c r="C43" s="11">
        <v>15.43</v>
      </c>
      <c r="D43" s="11">
        <v>9.01</v>
      </c>
      <c r="E43" s="11">
        <v>255.03</v>
      </c>
      <c r="F43" s="11">
        <v>357.56</v>
      </c>
      <c r="G43" s="6">
        <f>(F43-F44)/F44</f>
        <v>5.2018359420972125E-2</v>
      </c>
      <c r="H43" s="6">
        <f>F43/$F$55</f>
        <v>9.3774423154592987E-2</v>
      </c>
      <c r="I43" s="11">
        <v>17.68</v>
      </c>
    </row>
    <row r="44" spans="1:12" x14ac:dyDescent="0.3">
      <c r="A44" s="11" t="s">
        <v>11</v>
      </c>
      <c r="B44" s="11">
        <v>77.47</v>
      </c>
      <c r="C44" s="11">
        <v>10.39</v>
      </c>
      <c r="D44" s="11">
        <v>12.41</v>
      </c>
      <c r="E44" s="11">
        <v>239.61</v>
      </c>
      <c r="F44" s="11">
        <v>339.88</v>
      </c>
      <c r="G44" s="11"/>
      <c r="H44" s="11"/>
      <c r="I44" s="11"/>
    </row>
    <row r="45" spans="1:12" x14ac:dyDescent="0.3">
      <c r="A45" s="11" t="s">
        <v>31</v>
      </c>
      <c r="B45" s="11">
        <v>31.44</v>
      </c>
      <c r="C45" s="11">
        <v>1.39</v>
      </c>
      <c r="D45" s="11">
        <v>6.23</v>
      </c>
      <c r="E45" s="11">
        <v>48.95</v>
      </c>
      <c r="F45" s="11">
        <v>88.01</v>
      </c>
      <c r="G45" s="6">
        <f>(F45-F46)/F46</f>
        <v>2.3253110103476339E-2</v>
      </c>
      <c r="H45" s="6">
        <f>F45/$F$55</f>
        <v>2.3081684142062114E-2</v>
      </c>
      <c r="I45" s="11">
        <v>2</v>
      </c>
    </row>
    <row r="46" spans="1:12" x14ac:dyDescent="0.3">
      <c r="A46" s="11" t="s">
        <v>11</v>
      </c>
      <c r="B46" s="11">
        <v>31.31</v>
      </c>
      <c r="C46" s="11">
        <v>0.52</v>
      </c>
      <c r="D46" s="11">
        <v>6.66</v>
      </c>
      <c r="E46" s="11">
        <v>47.52</v>
      </c>
      <c r="F46" s="11">
        <v>86.01</v>
      </c>
      <c r="G46" s="11"/>
      <c r="H46" s="11"/>
      <c r="I46" s="11"/>
    </row>
    <row r="47" spans="1:12" x14ac:dyDescent="0.3">
      <c r="A47" s="11" t="s">
        <v>32</v>
      </c>
      <c r="B47" s="11">
        <v>42.01</v>
      </c>
      <c r="C47" s="11">
        <v>2.31</v>
      </c>
      <c r="D47" s="11">
        <v>26.43</v>
      </c>
      <c r="E47" s="11">
        <v>107.67</v>
      </c>
      <c r="F47" s="11">
        <v>178.42</v>
      </c>
      <c r="G47" s="6">
        <f>(F47-F48)/F48</f>
        <v>2.5285160420294916E-3</v>
      </c>
      <c r="H47" s="6">
        <f>F47/$F$55</f>
        <v>4.6792797234708798E-2</v>
      </c>
      <c r="I47" s="11">
        <v>0.45</v>
      </c>
    </row>
    <row r="48" spans="1:12" x14ac:dyDescent="0.3">
      <c r="A48" s="11" t="s">
        <v>11</v>
      </c>
      <c r="B48" s="11">
        <v>39.92</v>
      </c>
      <c r="C48" s="11">
        <v>0.71</v>
      </c>
      <c r="D48" s="11">
        <v>26.9</v>
      </c>
      <c r="E48" s="11">
        <v>110.44</v>
      </c>
      <c r="F48" s="11">
        <v>177.97</v>
      </c>
      <c r="G48" s="11"/>
      <c r="H48" s="11"/>
      <c r="I48" s="11"/>
    </row>
    <row r="49" spans="1:18" x14ac:dyDescent="0.3">
      <c r="A49" s="11" t="s">
        <v>33</v>
      </c>
      <c r="B49" s="11">
        <v>1.35</v>
      </c>
      <c r="C49" s="11">
        <v>0.12</v>
      </c>
      <c r="D49" s="11">
        <v>0.39</v>
      </c>
      <c r="E49" s="11">
        <v>14.25</v>
      </c>
      <c r="F49" s="11">
        <v>16.11</v>
      </c>
      <c r="G49" s="6">
        <f>(F49-F50)/F50</f>
        <v>0.19510385756676549</v>
      </c>
      <c r="H49" s="6">
        <f>F49/$F$55</f>
        <v>4.2250418307990065E-3</v>
      </c>
      <c r="I49" s="11">
        <v>2.63</v>
      </c>
    </row>
    <row r="50" spans="1:18" x14ac:dyDescent="0.3">
      <c r="A50" s="11" t="s">
        <v>11</v>
      </c>
      <c r="B50" s="11">
        <v>1.22</v>
      </c>
      <c r="C50" s="11">
        <v>0.01</v>
      </c>
      <c r="D50" s="11">
        <v>0.34</v>
      </c>
      <c r="E50" s="11">
        <v>11.91</v>
      </c>
      <c r="F50" s="11">
        <v>13.48</v>
      </c>
      <c r="G50" s="11"/>
      <c r="H50" s="11"/>
      <c r="I50" s="11"/>
    </row>
    <row r="51" spans="1:18" x14ac:dyDescent="0.3">
      <c r="A51" s="11" t="s">
        <v>34</v>
      </c>
      <c r="B51" s="11">
        <v>0.03</v>
      </c>
      <c r="C51" s="11">
        <v>0</v>
      </c>
      <c r="D51" s="11">
        <v>0</v>
      </c>
      <c r="E51" s="11">
        <v>0</v>
      </c>
      <c r="F51" s="11">
        <v>0.03</v>
      </c>
      <c r="G51" s="6">
        <f>(F51-F52)/F52</f>
        <v>-0.5</v>
      </c>
      <c r="H51" s="11">
        <v>0</v>
      </c>
      <c r="I51" s="11">
        <v>-0.03</v>
      </c>
    </row>
    <row r="52" spans="1:18" x14ac:dyDescent="0.3">
      <c r="A52" s="11" t="s">
        <v>11</v>
      </c>
      <c r="B52" s="11">
        <v>0.05</v>
      </c>
      <c r="C52" s="11">
        <v>0</v>
      </c>
      <c r="D52" s="11">
        <v>0</v>
      </c>
      <c r="E52" s="11">
        <v>0.01</v>
      </c>
      <c r="F52" s="11">
        <v>0.06</v>
      </c>
      <c r="G52" s="11"/>
      <c r="H52" s="11"/>
      <c r="I52" s="11"/>
    </row>
    <row r="53" spans="1:18" ht="16.8" customHeight="1" x14ac:dyDescent="0.3">
      <c r="A53" s="11" t="s">
        <v>35</v>
      </c>
      <c r="B53" s="11">
        <v>1.95</v>
      </c>
      <c r="C53" s="11">
        <v>0</v>
      </c>
      <c r="D53" s="11">
        <v>0</v>
      </c>
      <c r="E53" s="11">
        <v>12.54</v>
      </c>
      <c r="F53" s="11">
        <v>14.49</v>
      </c>
      <c r="G53" s="11"/>
      <c r="H53" s="6">
        <f>F53/$F$55</f>
        <v>3.8001772891544145E-3</v>
      </c>
      <c r="I53" s="11">
        <v>13.23</v>
      </c>
    </row>
    <row r="54" spans="1:18" x14ac:dyDescent="0.3">
      <c r="A54" s="11" t="s">
        <v>11</v>
      </c>
      <c r="B54" s="11">
        <v>0.91</v>
      </c>
      <c r="C54" s="11">
        <v>0</v>
      </c>
      <c r="D54" s="11">
        <v>0</v>
      </c>
      <c r="E54" s="11">
        <v>0.35</v>
      </c>
      <c r="F54" s="11">
        <v>1.26</v>
      </c>
      <c r="G54" s="11"/>
      <c r="H54" s="11"/>
      <c r="I54" s="11"/>
    </row>
    <row r="55" spans="1:18" x14ac:dyDescent="0.3">
      <c r="A55" s="9" t="s">
        <v>36</v>
      </c>
      <c r="B55" s="4">
        <f t="shared" ref="B55:F55" si="0">SUM(B5+B7+B9+B11+B13+B15+B17+B19+B21+B23+B25+B27+B29+B31+B33+B35+B37+B39+B41+B43+B45+B47+B49+B51+B53)</f>
        <v>612.25000000000011</v>
      </c>
      <c r="C55" s="4">
        <f t="shared" si="0"/>
        <v>112.40000000000002</v>
      </c>
      <c r="D55" s="4">
        <f t="shared" si="0"/>
        <v>155.59</v>
      </c>
      <c r="E55" s="4">
        <f t="shared" si="0"/>
        <v>2932.74</v>
      </c>
      <c r="F55" s="4">
        <f t="shared" si="0"/>
        <v>3812.9800000000005</v>
      </c>
      <c r="G55" s="7">
        <f>(F55-F56)/F56</f>
        <v>6.1656002717497237E-2</v>
      </c>
      <c r="H55" s="7">
        <f>F55/$F$55</f>
        <v>1</v>
      </c>
      <c r="I55" s="4">
        <f t="shared" ref="I55" si="1">SUM(I5+I7+I9+I11+I13+I15+I17+I19+I21+I23+I25+I27+I29+I31+I33+I35+I37+I39+I41+I43+I45+I47+I49+I51+I53)</f>
        <v>221.44</v>
      </c>
    </row>
    <row r="56" spans="1:18" x14ac:dyDescent="0.3">
      <c r="A56" s="11" t="s">
        <v>37</v>
      </c>
      <c r="B56" s="12">
        <f>SUM(B6+B8+B10+B12+B14+B16+B18+B20+B22+B24+B26+B28+B30+B32+B34+B36+B38+B40+B42+B44+B46+B48+B50+B52+B54)</f>
        <v>548.87</v>
      </c>
      <c r="C56" s="12">
        <f>SUM(C6+C8+C10+C12+C14+C16+C18+C20+C22+C24+C26+C28+C30+C32+C34+C36+C38+C40+C42+C44+C46+C48+C50+C52+C54)</f>
        <v>68.469999999999985</v>
      </c>
      <c r="D56" s="12">
        <f>SUM(D6+D8+D10+D12+D14+D16+D18+D20+D22+D24+D26+D28+D30+D32+D34+D36+D38+D40+D42+D44+D46+D48+D50+D52+D54)</f>
        <v>148.47</v>
      </c>
      <c r="E56" s="12">
        <f>SUM(E6+E8+E10+E12+E14+E16+E18+E20+E22+E24+E26+E28+E30+E32+E34+E36+E38+E40+E42+E44+E46+E48+E50+E52+E54)</f>
        <v>2825.73</v>
      </c>
      <c r="F56" s="12">
        <f>SUM(F6+F8+F10+F12+F14+F16+F18+F20+F22+F24+F26+F28+F30+F32+F34+F36+F38+F40+F42+F44+F46+F48+F50+F52+F54)</f>
        <v>3591.5400000000004</v>
      </c>
      <c r="G56" s="11"/>
      <c r="H56" s="11"/>
      <c r="I56" s="11"/>
    </row>
    <row r="57" spans="1:18" x14ac:dyDescent="0.3">
      <c r="A57" s="11" t="s">
        <v>38</v>
      </c>
      <c r="B57" s="6">
        <f>(B55-B56)/B56</f>
        <v>0.11547360941570883</v>
      </c>
      <c r="C57" s="6">
        <f>(C55-C56)/C56</f>
        <v>0.64159485906236369</v>
      </c>
      <c r="D57" s="6">
        <f>(D55-D56)/D56</f>
        <v>4.7955815989762271E-2</v>
      </c>
      <c r="E57" s="6">
        <f>(E55-E56)/E56</f>
        <v>3.7869860177723903E-2</v>
      </c>
      <c r="F57" s="6">
        <f>(F55-F56)/F56</f>
        <v>6.1656002717497237E-2</v>
      </c>
      <c r="G57" s="11"/>
      <c r="H57" s="11"/>
      <c r="I57" s="11"/>
    </row>
    <row r="58" spans="1:18" x14ac:dyDescent="0.3">
      <c r="A58" s="11" t="s">
        <v>49</v>
      </c>
      <c r="B58" s="6">
        <f>B55/$F$55</f>
        <v>0.16056994791475435</v>
      </c>
      <c r="C58" s="6">
        <f>C55/$F$55</f>
        <v>2.947825585237793E-2</v>
      </c>
      <c r="D58" s="6">
        <f>D55/$F$55</f>
        <v>4.0805354342272969E-2</v>
      </c>
      <c r="E58" s="6">
        <f>E55/$F$55</f>
        <v>0.76914644189059456</v>
      </c>
      <c r="F58" s="6">
        <f>F55/$F$55</f>
        <v>1</v>
      </c>
      <c r="G58" s="11"/>
      <c r="H58" s="11"/>
      <c r="I58" s="11"/>
    </row>
    <row r="59" spans="1:18" x14ac:dyDescent="0.3">
      <c r="A59" s="11" t="s">
        <v>50</v>
      </c>
      <c r="B59" s="6">
        <f>B56/$F$56</f>
        <v>0.15282302299292225</v>
      </c>
      <c r="C59" s="6">
        <f>C56/$F$56</f>
        <v>1.906424542118422E-2</v>
      </c>
      <c r="D59" s="6">
        <f>D56/$F$56</f>
        <v>4.1338812876927443E-2</v>
      </c>
      <c r="E59" s="6">
        <f>E56/$F$56</f>
        <v>0.78677391870896596</v>
      </c>
      <c r="F59" s="6">
        <f>F56/$F$56</f>
        <v>1</v>
      </c>
      <c r="G59" s="11"/>
      <c r="H59" s="11"/>
      <c r="I59" s="11"/>
    </row>
    <row r="61" spans="1:18" ht="57.6" customHeight="1" x14ac:dyDescent="0.3">
      <c r="A61" s="21" t="s">
        <v>75</v>
      </c>
      <c r="B61" s="21"/>
      <c r="C61" s="21"/>
      <c r="D61" s="21"/>
      <c r="E61" s="21"/>
      <c r="F61" s="21"/>
      <c r="G61" s="21"/>
      <c r="H61" s="21"/>
      <c r="I61" s="21"/>
      <c r="J61" s="23"/>
      <c r="K61" s="23"/>
      <c r="L61" s="23"/>
      <c r="M61" s="23"/>
      <c r="N61" s="23"/>
      <c r="O61" s="23"/>
      <c r="P61" s="23"/>
      <c r="Q61" s="23"/>
      <c r="R61" s="23"/>
    </row>
  </sheetData>
  <mergeCells count="2">
    <mergeCell ref="A2:I2"/>
    <mergeCell ref="A61:I6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71"/>
  <sheetViews>
    <sheetView workbookViewId="0">
      <selection activeCell="A71" sqref="A71:H71"/>
    </sheetView>
  </sheetViews>
  <sheetFormatPr defaultRowHeight="14.4" x14ac:dyDescent="0.3"/>
  <cols>
    <col min="1" max="1" width="37.77734375" customWidth="1"/>
    <col min="2" max="2" width="11.109375" customWidth="1"/>
    <col min="3" max="3" width="11.44140625" customWidth="1"/>
    <col min="4" max="4" width="12.5546875" customWidth="1"/>
    <col min="5" max="5" width="11.44140625" customWidth="1"/>
    <col min="6" max="6" width="12.109375" customWidth="1"/>
    <col min="7" max="8" width="11.5546875" customWidth="1"/>
  </cols>
  <sheetData>
    <row r="1" spans="1:8" ht="51" customHeight="1" x14ac:dyDescent="0.3">
      <c r="A1" s="19" t="s">
        <v>0</v>
      </c>
      <c r="B1" s="19"/>
      <c r="C1" s="19"/>
      <c r="D1" s="19"/>
      <c r="E1" s="19"/>
      <c r="F1" s="19"/>
      <c r="G1" s="19"/>
      <c r="H1" s="19"/>
    </row>
    <row r="2" spans="1:8" ht="43.2" x14ac:dyDescent="0.3">
      <c r="A2" s="3"/>
      <c r="B2" s="3" t="s">
        <v>55</v>
      </c>
      <c r="C2" s="3" t="s">
        <v>56</v>
      </c>
      <c r="D2" s="3" t="s">
        <v>57</v>
      </c>
      <c r="E2" s="3" t="s">
        <v>5</v>
      </c>
      <c r="F2" s="3" t="s">
        <v>6</v>
      </c>
      <c r="G2" s="3" t="s">
        <v>7</v>
      </c>
      <c r="H2" s="3" t="s">
        <v>8</v>
      </c>
    </row>
    <row r="3" spans="1:8" x14ac:dyDescent="0.3">
      <c r="A3" s="2" t="s">
        <v>9</v>
      </c>
      <c r="B3" s="1"/>
      <c r="C3" s="1"/>
      <c r="D3" s="1"/>
      <c r="E3" s="1"/>
      <c r="F3" s="1"/>
      <c r="G3" s="1"/>
      <c r="H3" s="1"/>
    </row>
    <row r="4" spans="1:8" x14ac:dyDescent="0.3">
      <c r="A4" s="1" t="s">
        <v>10</v>
      </c>
      <c r="B4" s="10">
        <v>0</v>
      </c>
      <c r="C4" s="10">
        <v>0</v>
      </c>
      <c r="D4" s="10">
        <v>52.6</v>
      </c>
      <c r="E4" s="10">
        <v>52.6</v>
      </c>
      <c r="F4" s="6">
        <f>(E4-E5)/E5</f>
        <v>0.2258214868329062</v>
      </c>
      <c r="G4" s="6">
        <f>E4/$E$65</f>
        <v>2.5756776700987822E-3</v>
      </c>
      <c r="H4" s="10">
        <v>9.69</v>
      </c>
    </row>
    <row r="5" spans="1:8" x14ac:dyDescent="0.3">
      <c r="A5" s="1" t="s">
        <v>11</v>
      </c>
      <c r="B5" s="10">
        <v>0</v>
      </c>
      <c r="C5" s="10">
        <v>0</v>
      </c>
      <c r="D5" s="10">
        <v>42.91</v>
      </c>
      <c r="E5" s="10">
        <v>42.91</v>
      </c>
      <c r="F5" s="10"/>
      <c r="G5" s="10"/>
      <c r="H5" s="10"/>
    </row>
    <row r="6" spans="1:8" x14ac:dyDescent="0.3">
      <c r="A6" s="1" t="s">
        <v>12</v>
      </c>
      <c r="B6" s="10">
        <v>1100.33</v>
      </c>
      <c r="C6" s="10">
        <v>24.5</v>
      </c>
      <c r="D6" s="10">
        <v>588.34</v>
      </c>
      <c r="E6" s="10">
        <v>1713.17</v>
      </c>
      <c r="F6" s="6">
        <f>(E6-E7)/E7</f>
        <v>8.6595544956362874E-2</v>
      </c>
      <c r="G6" s="6">
        <f>E6/$E$65</f>
        <v>8.3889234108044303E-2</v>
      </c>
      <c r="H6" s="10">
        <v>136.53</v>
      </c>
    </row>
    <row r="7" spans="1:8" x14ac:dyDescent="0.3">
      <c r="A7" s="1" t="s">
        <v>11</v>
      </c>
      <c r="B7" s="10">
        <v>993.87</v>
      </c>
      <c r="C7" s="10">
        <v>19.23</v>
      </c>
      <c r="D7" s="10">
        <v>563.54</v>
      </c>
      <c r="E7" s="10">
        <v>1576.64</v>
      </c>
      <c r="F7" s="10"/>
      <c r="G7" s="10"/>
      <c r="H7" s="10"/>
    </row>
    <row r="8" spans="1:8" x14ac:dyDescent="0.3">
      <c r="A8" s="1" t="s">
        <v>13</v>
      </c>
      <c r="B8" s="10">
        <v>0.63</v>
      </c>
      <c r="C8" s="10">
        <v>0</v>
      </c>
      <c r="D8" s="10">
        <v>26.85</v>
      </c>
      <c r="E8" s="10">
        <v>27.48</v>
      </c>
      <c r="F8" s="6">
        <f>(E8-E9)/E9</f>
        <v>-0.94020887728459523</v>
      </c>
      <c r="G8" s="6">
        <f>E8/$E$65</f>
        <v>1.3456201972303142E-3</v>
      </c>
      <c r="H8" s="10">
        <v>-432.12</v>
      </c>
    </row>
    <row r="9" spans="1:8" x14ac:dyDescent="0.3">
      <c r="A9" s="1" t="s">
        <v>11</v>
      </c>
      <c r="B9" s="10">
        <v>413.5</v>
      </c>
      <c r="C9" s="10">
        <v>0</v>
      </c>
      <c r="D9" s="10">
        <v>46.1</v>
      </c>
      <c r="E9" s="10">
        <v>459.6</v>
      </c>
      <c r="F9" s="10"/>
      <c r="G9" s="10"/>
      <c r="H9" s="10"/>
    </row>
    <row r="10" spans="1:8" x14ac:dyDescent="0.3">
      <c r="A10" s="1" t="s">
        <v>14</v>
      </c>
      <c r="B10" s="10">
        <v>138.56</v>
      </c>
      <c r="C10" s="10">
        <v>0</v>
      </c>
      <c r="D10" s="10">
        <v>147.21</v>
      </c>
      <c r="E10" s="10">
        <v>285.77</v>
      </c>
      <c r="F10" s="6">
        <f>(E10-E11)/E11</f>
        <v>-0.27138522730170062</v>
      </c>
      <c r="G10" s="6">
        <f>E10/$E$65</f>
        <v>1.3993372771561385E-2</v>
      </c>
      <c r="H10" s="10">
        <v>-106.44</v>
      </c>
    </row>
    <row r="11" spans="1:8" x14ac:dyDescent="0.3">
      <c r="A11" s="1" t="s">
        <v>11</v>
      </c>
      <c r="B11" s="10">
        <v>187.69</v>
      </c>
      <c r="C11" s="10">
        <v>0</v>
      </c>
      <c r="D11" s="10">
        <v>204.52</v>
      </c>
      <c r="E11" s="10">
        <v>392.21</v>
      </c>
      <c r="F11" s="10"/>
      <c r="G11" s="10"/>
      <c r="H11" s="10"/>
    </row>
    <row r="12" spans="1:8" x14ac:dyDescent="0.3">
      <c r="A12" s="1" t="s">
        <v>15</v>
      </c>
      <c r="B12" s="10">
        <v>0</v>
      </c>
      <c r="C12" s="10">
        <v>0</v>
      </c>
      <c r="D12" s="10">
        <v>140.81</v>
      </c>
      <c r="E12" s="10">
        <v>140.81</v>
      </c>
      <c r="F12" s="6">
        <f>(E12-E13)/E13</f>
        <v>0.25186699857752487</v>
      </c>
      <c r="G12" s="6">
        <f>E12/$E$65</f>
        <v>6.8950793294032219E-3</v>
      </c>
      <c r="H12" s="10">
        <v>28.33</v>
      </c>
    </row>
    <row r="13" spans="1:8" x14ac:dyDescent="0.3">
      <c r="A13" s="1" t="s">
        <v>11</v>
      </c>
      <c r="B13" s="10">
        <v>0</v>
      </c>
      <c r="C13" s="10">
        <v>0</v>
      </c>
      <c r="D13" s="10">
        <v>112.48</v>
      </c>
      <c r="E13" s="10">
        <v>112.48</v>
      </c>
      <c r="F13" s="10"/>
      <c r="G13" s="10"/>
      <c r="H13" s="10"/>
    </row>
    <row r="14" spans="1:8" x14ac:dyDescent="0.3">
      <c r="A14" s="1" t="s">
        <v>16</v>
      </c>
      <c r="B14" s="10">
        <v>999.11</v>
      </c>
      <c r="C14" s="10">
        <v>96.75</v>
      </c>
      <c r="D14" s="10">
        <v>162.01</v>
      </c>
      <c r="E14" s="10">
        <v>1257.8699999999999</v>
      </c>
      <c r="F14" s="6">
        <f>(E14-E15)/E15</f>
        <v>-0.51305367802476021</v>
      </c>
      <c r="G14" s="6">
        <f>E14/$E$65</f>
        <v>6.1594442412303316E-2</v>
      </c>
      <c r="H14" s="10">
        <v>-1325.31</v>
      </c>
    </row>
    <row r="15" spans="1:8" x14ac:dyDescent="0.3">
      <c r="A15" s="1" t="s">
        <v>11</v>
      </c>
      <c r="B15" s="10">
        <v>2250.8000000000002</v>
      </c>
      <c r="C15" s="10">
        <v>80.680000000000007</v>
      </c>
      <c r="D15" s="10">
        <v>251.7</v>
      </c>
      <c r="E15" s="10">
        <v>2583.1799999999998</v>
      </c>
      <c r="F15" s="10"/>
      <c r="G15" s="10"/>
      <c r="H15" s="10"/>
    </row>
    <row r="16" spans="1:8" x14ac:dyDescent="0.3">
      <c r="A16" s="1" t="s">
        <v>17</v>
      </c>
      <c r="B16" s="10">
        <v>686.37</v>
      </c>
      <c r="C16" s="10">
        <v>93.45</v>
      </c>
      <c r="D16" s="10">
        <v>360.65</v>
      </c>
      <c r="E16" s="10">
        <v>1140.47</v>
      </c>
      <c r="F16" s="6">
        <f>(E16-E17)/E17</f>
        <v>-0.33365078994110497</v>
      </c>
      <c r="G16" s="6">
        <f>E16/$E$65</f>
        <v>5.5845686547862317E-2</v>
      </c>
      <c r="H16" s="10">
        <v>-571.04999999999995</v>
      </c>
    </row>
    <row r="17" spans="1:8" x14ac:dyDescent="0.3">
      <c r="A17" s="1" t="s">
        <v>11</v>
      </c>
      <c r="B17" s="10">
        <v>1235.33</v>
      </c>
      <c r="C17" s="10">
        <v>56.96</v>
      </c>
      <c r="D17" s="10">
        <v>419.23</v>
      </c>
      <c r="E17" s="10">
        <v>1711.52</v>
      </c>
      <c r="F17" s="10"/>
      <c r="G17" s="10"/>
      <c r="H17" s="10"/>
    </row>
    <row r="18" spans="1:8" x14ac:dyDescent="0.3">
      <c r="A18" s="1" t="s">
        <v>18</v>
      </c>
      <c r="B18" s="10">
        <v>537.11</v>
      </c>
      <c r="C18" s="10">
        <v>20.85</v>
      </c>
      <c r="D18" s="10">
        <v>352.49</v>
      </c>
      <c r="E18" s="10">
        <v>910.45</v>
      </c>
      <c r="F18" s="6">
        <f>(E18-E19)/E19</f>
        <v>-3.9204305614183171E-2</v>
      </c>
      <c r="G18" s="6">
        <f>E18/$E$65</f>
        <v>4.4582238303069129E-2</v>
      </c>
      <c r="H18" s="10">
        <v>-37.15</v>
      </c>
    </row>
    <row r="19" spans="1:8" x14ac:dyDescent="0.3">
      <c r="A19" s="1" t="s">
        <v>11</v>
      </c>
      <c r="B19" s="10">
        <v>585.08000000000004</v>
      </c>
      <c r="C19" s="10">
        <v>22.72</v>
      </c>
      <c r="D19" s="10">
        <v>339.8</v>
      </c>
      <c r="E19" s="10">
        <v>947.6</v>
      </c>
      <c r="F19" s="10"/>
      <c r="G19" s="10"/>
      <c r="H19" s="10"/>
    </row>
    <row r="20" spans="1:8" x14ac:dyDescent="0.3">
      <c r="A20" s="1" t="s">
        <v>19</v>
      </c>
      <c r="B20" s="10">
        <v>520.97</v>
      </c>
      <c r="C20" s="10">
        <v>0</v>
      </c>
      <c r="D20" s="10">
        <v>0</v>
      </c>
      <c r="E20" s="10">
        <v>520.97</v>
      </c>
      <c r="F20" s="6">
        <f>(E20-E21)/E21</f>
        <v>-0.25579966859036618</v>
      </c>
      <c r="G20" s="6">
        <f>E20/$E$65</f>
        <v>2.5510471402877613E-2</v>
      </c>
      <c r="H20" s="10">
        <v>-179.07</v>
      </c>
    </row>
    <row r="21" spans="1:8" x14ac:dyDescent="0.3">
      <c r="A21" s="1" t="s">
        <v>11</v>
      </c>
      <c r="B21" s="10">
        <v>700.04</v>
      </c>
      <c r="C21" s="10">
        <v>0</v>
      </c>
      <c r="D21" s="10">
        <v>0</v>
      </c>
      <c r="E21" s="10">
        <v>700.04</v>
      </c>
      <c r="F21" s="10"/>
      <c r="G21" s="10"/>
      <c r="H21" s="10"/>
    </row>
    <row r="22" spans="1:8" x14ac:dyDescent="0.3">
      <c r="A22" s="1" t="s">
        <v>20</v>
      </c>
      <c r="B22" s="10">
        <v>0</v>
      </c>
      <c r="C22" s="10">
        <v>0</v>
      </c>
      <c r="D22" s="10">
        <v>41.08</v>
      </c>
      <c r="E22" s="10">
        <v>41.08</v>
      </c>
      <c r="F22" s="6">
        <f>(E22-E23)/E23</f>
        <v>5.9308922124806526E-2</v>
      </c>
      <c r="G22" s="6">
        <f>E22/$E$65</f>
        <v>2.0115748799934973E-3</v>
      </c>
      <c r="H22" s="10">
        <v>2.2999999999999998</v>
      </c>
    </row>
    <row r="23" spans="1:8" x14ac:dyDescent="0.3">
      <c r="A23" s="1" t="s">
        <v>11</v>
      </c>
      <c r="B23" s="10">
        <v>0</v>
      </c>
      <c r="C23" s="10">
        <v>0</v>
      </c>
      <c r="D23" s="10">
        <v>38.78</v>
      </c>
      <c r="E23" s="10">
        <v>38.78</v>
      </c>
      <c r="F23" s="10"/>
      <c r="G23" s="10"/>
      <c r="H23" s="10"/>
    </row>
    <row r="24" spans="1:8" x14ac:dyDescent="0.3">
      <c r="A24" s="1" t="s">
        <v>21</v>
      </c>
      <c r="B24" s="10">
        <v>0</v>
      </c>
      <c r="C24" s="10">
        <v>0</v>
      </c>
      <c r="D24" s="10">
        <v>14.49</v>
      </c>
      <c r="E24" s="10">
        <v>14.49</v>
      </c>
      <c r="F24" s="6">
        <f>(E24-E25)/E25</f>
        <v>4.1750000000000007</v>
      </c>
      <c r="G24" s="6">
        <f>E24/$E$65</f>
        <v>7.0953554067930327E-4</v>
      </c>
      <c r="H24" s="10">
        <v>11.69</v>
      </c>
    </row>
    <row r="25" spans="1:8" x14ac:dyDescent="0.3">
      <c r="A25" s="1" t="s">
        <v>11</v>
      </c>
      <c r="B25" s="10">
        <v>0</v>
      </c>
      <c r="C25" s="10">
        <v>0</v>
      </c>
      <c r="D25" s="10">
        <v>2.8</v>
      </c>
      <c r="E25" s="10">
        <v>2.8</v>
      </c>
      <c r="F25" s="10"/>
      <c r="G25" s="10"/>
      <c r="H25" s="10"/>
    </row>
    <row r="26" spans="1:8" x14ac:dyDescent="0.3">
      <c r="A26" s="1" t="s">
        <v>22</v>
      </c>
      <c r="B26" s="10">
        <v>0.08</v>
      </c>
      <c r="C26" s="10">
        <v>0</v>
      </c>
      <c r="D26" s="10">
        <v>315.77999999999997</v>
      </c>
      <c r="E26" s="10">
        <v>315.86</v>
      </c>
      <c r="F26" s="6">
        <f>(E26-E27)/E27</f>
        <v>4.2923913389082153E-3</v>
      </c>
      <c r="G26" s="6">
        <f>E26/$E$65</f>
        <v>1.546679750717493E-2</v>
      </c>
      <c r="H26" s="10">
        <v>1.35</v>
      </c>
    </row>
    <row r="27" spans="1:8" x14ac:dyDescent="0.3">
      <c r="A27" s="1" t="s">
        <v>11</v>
      </c>
      <c r="B27" s="10">
        <v>3.98</v>
      </c>
      <c r="C27" s="10">
        <v>0</v>
      </c>
      <c r="D27" s="10">
        <v>310.52999999999997</v>
      </c>
      <c r="E27" s="10">
        <v>314.51</v>
      </c>
      <c r="F27" s="10"/>
      <c r="G27" s="10"/>
      <c r="H27" s="10"/>
    </row>
    <row r="28" spans="1:8" x14ac:dyDescent="0.3">
      <c r="A28" s="1" t="s">
        <v>23</v>
      </c>
      <c r="B28" s="10">
        <v>0</v>
      </c>
      <c r="C28" s="10">
        <v>0</v>
      </c>
      <c r="D28" s="10">
        <v>0</v>
      </c>
      <c r="E28" s="10">
        <v>0</v>
      </c>
      <c r="F28" s="10">
        <v>0</v>
      </c>
      <c r="G28" s="10">
        <v>0</v>
      </c>
      <c r="H28" s="10">
        <v>0</v>
      </c>
    </row>
    <row r="29" spans="1:8" x14ac:dyDescent="0.3">
      <c r="A29" s="1" t="s">
        <v>11</v>
      </c>
      <c r="B29" s="10">
        <v>0</v>
      </c>
      <c r="C29" s="10">
        <v>0</v>
      </c>
      <c r="D29" s="10">
        <v>0</v>
      </c>
      <c r="E29" s="10">
        <v>0</v>
      </c>
      <c r="F29" s="10"/>
      <c r="G29" s="10"/>
      <c r="H29" s="10"/>
    </row>
    <row r="30" spans="1:8" x14ac:dyDescent="0.3">
      <c r="A30" s="1" t="s">
        <v>24</v>
      </c>
      <c r="B30" s="10">
        <v>0</v>
      </c>
      <c r="C30" s="10">
        <v>0</v>
      </c>
      <c r="D30" s="10">
        <v>0.13</v>
      </c>
      <c r="E30" s="10">
        <v>0.13</v>
      </c>
      <c r="F30" s="10">
        <v>18.18</v>
      </c>
      <c r="G30" s="10">
        <v>0</v>
      </c>
      <c r="H30" s="10">
        <v>0.02</v>
      </c>
    </row>
    <row r="31" spans="1:8" x14ac:dyDescent="0.3">
      <c r="A31" s="1" t="s">
        <v>11</v>
      </c>
      <c r="B31" s="10">
        <v>0</v>
      </c>
      <c r="C31" s="10">
        <v>0</v>
      </c>
      <c r="D31" s="10">
        <v>0.11</v>
      </c>
      <c r="E31" s="10">
        <v>0.11</v>
      </c>
      <c r="F31" s="10"/>
      <c r="G31" s="10"/>
      <c r="H31" s="10"/>
    </row>
    <row r="32" spans="1:8" x14ac:dyDescent="0.3">
      <c r="A32" s="1" t="s">
        <v>25</v>
      </c>
      <c r="B32" s="10">
        <v>1726.09</v>
      </c>
      <c r="C32" s="10">
        <v>0</v>
      </c>
      <c r="D32" s="10">
        <v>55.17</v>
      </c>
      <c r="E32" s="10">
        <v>1781.26</v>
      </c>
      <c r="F32" s="6">
        <f>(E32-E33)/E33</f>
        <v>-0.36905676951795324</v>
      </c>
      <c r="G32" s="6">
        <f>E32/$E$65</f>
        <v>8.7223414574907912E-2</v>
      </c>
      <c r="H32" s="10">
        <v>-1041.9100000000001</v>
      </c>
    </row>
    <row r="33" spans="1:8" x14ac:dyDescent="0.3">
      <c r="A33" s="1" t="s">
        <v>11</v>
      </c>
      <c r="B33" s="10">
        <v>2770.75</v>
      </c>
      <c r="C33" s="10">
        <v>0</v>
      </c>
      <c r="D33" s="10">
        <v>52.42</v>
      </c>
      <c r="E33" s="10">
        <v>2823.17</v>
      </c>
      <c r="F33" s="10"/>
      <c r="G33" s="10"/>
      <c r="H33" s="10"/>
    </row>
    <row r="34" spans="1:8" x14ac:dyDescent="0.3">
      <c r="A34" s="1" t="s">
        <v>26</v>
      </c>
      <c r="B34" s="10">
        <v>0</v>
      </c>
      <c r="C34" s="10">
        <v>0</v>
      </c>
      <c r="D34" s="10">
        <v>13.33</v>
      </c>
      <c r="E34" s="10">
        <v>13.33</v>
      </c>
      <c r="F34" s="6">
        <f>(E34-E35)/E35</f>
        <v>0.45365321701199568</v>
      </c>
      <c r="G34" s="6">
        <f>E34/$E$65</f>
        <v>6.5273352362009061E-4</v>
      </c>
      <c r="H34" s="10">
        <v>4.16</v>
      </c>
    </row>
    <row r="35" spans="1:8" x14ac:dyDescent="0.3">
      <c r="A35" s="1" t="s">
        <v>11</v>
      </c>
      <c r="B35" s="10">
        <v>0</v>
      </c>
      <c r="C35" s="10">
        <v>0</v>
      </c>
      <c r="D35" s="10">
        <v>9.17</v>
      </c>
      <c r="E35" s="10">
        <v>9.17</v>
      </c>
      <c r="F35" s="10"/>
      <c r="G35" s="10"/>
      <c r="H35" s="10"/>
    </row>
    <row r="36" spans="1:8" x14ac:dyDescent="0.3">
      <c r="A36" s="1" t="s">
        <v>27</v>
      </c>
      <c r="B36" s="10">
        <v>1068.58</v>
      </c>
      <c r="C36" s="10">
        <v>29.57</v>
      </c>
      <c r="D36" s="10">
        <v>145.52000000000001</v>
      </c>
      <c r="E36" s="10">
        <v>1243.67</v>
      </c>
      <c r="F36" s="6">
        <f>(E36-E37)/E37</f>
        <v>-0.30154050062058074</v>
      </c>
      <c r="G36" s="6">
        <f>E36/$E$65</f>
        <v>6.0899107375888828E-2</v>
      </c>
      <c r="H36" s="10">
        <v>-536.91999999999996</v>
      </c>
    </row>
    <row r="37" spans="1:8" x14ac:dyDescent="0.3">
      <c r="A37" s="1" t="s">
        <v>11</v>
      </c>
      <c r="B37" s="10">
        <v>1659.18</v>
      </c>
      <c r="C37" s="10">
        <v>19.690000000000001</v>
      </c>
      <c r="D37" s="10">
        <v>101.72</v>
      </c>
      <c r="E37" s="10">
        <v>1780.59</v>
      </c>
      <c r="F37" s="10"/>
      <c r="G37" s="10"/>
      <c r="H37" s="10"/>
    </row>
    <row r="38" spans="1:8" x14ac:dyDescent="0.3">
      <c r="A38" s="1" t="s">
        <v>28</v>
      </c>
      <c r="B38" s="10">
        <v>0</v>
      </c>
      <c r="C38" s="10">
        <v>0</v>
      </c>
      <c r="D38" s="10">
        <v>30.22</v>
      </c>
      <c r="E38" s="10">
        <v>30.22</v>
      </c>
      <c r="F38" s="6">
        <f>(E38-E39)/E39</f>
        <v>1.4022257551669317</v>
      </c>
      <c r="G38" s="6">
        <f>E38/$E$65</f>
        <v>1.4797904789046613E-3</v>
      </c>
      <c r="H38" s="10">
        <v>17.64</v>
      </c>
    </row>
    <row r="39" spans="1:8" x14ac:dyDescent="0.3">
      <c r="A39" s="1" t="s">
        <v>11</v>
      </c>
      <c r="B39" s="10">
        <v>0</v>
      </c>
      <c r="C39" s="10">
        <v>0</v>
      </c>
      <c r="D39" s="10">
        <v>12.58</v>
      </c>
      <c r="E39" s="10">
        <v>12.58</v>
      </c>
      <c r="F39" s="10"/>
      <c r="G39" s="10"/>
      <c r="H39" s="10"/>
    </row>
    <row r="40" spans="1:8" x14ac:dyDescent="0.3">
      <c r="A40" s="1" t="s">
        <v>29</v>
      </c>
      <c r="B40" s="10">
        <v>420.52</v>
      </c>
      <c r="C40" s="10">
        <v>182.33</v>
      </c>
      <c r="D40" s="10">
        <v>360.28</v>
      </c>
      <c r="E40" s="10">
        <v>963.13</v>
      </c>
      <c r="F40" s="6">
        <f>(E40-E41)/E41</f>
        <v>0.36426477045766814</v>
      </c>
      <c r="G40" s="6">
        <f>E40/$E$65</f>
        <v>4.7161833353654752E-2</v>
      </c>
      <c r="H40" s="10">
        <v>257.16000000000003</v>
      </c>
    </row>
    <row r="41" spans="1:8" x14ac:dyDescent="0.3">
      <c r="A41" s="1" t="s">
        <v>11</v>
      </c>
      <c r="B41" s="10">
        <v>388.55</v>
      </c>
      <c r="C41" s="10">
        <v>79.28</v>
      </c>
      <c r="D41" s="10">
        <v>238.14</v>
      </c>
      <c r="E41" s="10">
        <v>705.97</v>
      </c>
      <c r="F41" s="10"/>
      <c r="G41" s="10"/>
      <c r="H41" s="10"/>
    </row>
    <row r="42" spans="1:8" x14ac:dyDescent="0.3">
      <c r="A42" s="1" t="s">
        <v>30</v>
      </c>
      <c r="B42" s="10">
        <v>-0.04</v>
      </c>
      <c r="C42" s="10">
        <v>277.54000000000002</v>
      </c>
      <c r="D42" s="10">
        <v>912.73</v>
      </c>
      <c r="E42" s="10">
        <v>1190.23</v>
      </c>
      <c r="F42" s="6">
        <f>(E42-E43)/E43</f>
        <v>0.24531006413676934</v>
      </c>
      <c r="G42" s="6">
        <f>E42/$E$65</f>
        <v>5.8282297210678201E-2</v>
      </c>
      <c r="H42" s="10">
        <v>234.46</v>
      </c>
    </row>
    <row r="43" spans="1:8" x14ac:dyDescent="0.3">
      <c r="A43" s="1" t="s">
        <v>11</v>
      </c>
      <c r="B43" s="10">
        <v>0</v>
      </c>
      <c r="C43" s="10">
        <v>122.2</v>
      </c>
      <c r="D43" s="10">
        <v>833.57</v>
      </c>
      <c r="E43" s="10">
        <v>955.77</v>
      </c>
      <c r="F43" s="10"/>
      <c r="G43" s="10"/>
      <c r="H43" s="10"/>
    </row>
    <row r="44" spans="1:8" x14ac:dyDescent="0.3">
      <c r="A44" s="1" t="s">
        <v>31</v>
      </c>
      <c r="B44" s="10">
        <v>59.82</v>
      </c>
      <c r="C44" s="10">
        <v>0</v>
      </c>
      <c r="D44" s="10">
        <v>221.44</v>
      </c>
      <c r="E44" s="10">
        <v>281.26</v>
      </c>
      <c r="F44" s="6">
        <f>(E44-E45)/E45</f>
        <v>-0.77006213211249186</v>
      </c>
      <c r="G44" s="6">
        <f>E44/$E$65</f>
        <v>1.3772530446615654E-2</v>
      </c>
      <c r="H44" s="10">
        <v>-941.94</v>
      </c>
    </row>
    <row r="45" spans="1:8" x14ac:dyDescent="0.3">
      <c r="A45" s="1" t="s">
        <v>11</v>
      </c>
      <c r="B45" s="10">
        <v>926.41</v>
      </c>
      <c r="C45" s="10">
        <v>0</v>
      </c>
      <c r="D45" s="10">
        <v>296.79000000000002</v>
      </c>
      <c r="E45" s="10">
        <v>1223.2</v>
      </c>
      <c r="F45" s="10"/>
      <c r="G45" s="10"/>
      <c r="H45" s="10"/>
    </row>
    <row r="46" spans="1:8" x14ac:dyDescent="0.3">
      <c r="A46" s="1" t="s">
        <v>32</v>
      </c>
      <c r="B46" s="10">
        <v>-0.03</v>
      </c>
      <c r="C46" s="10">
        <v>0</v>
      </c>
      <c r="D46" s="10">
        <v>351.85</v>
      </c>
      <c r="E46" s="10">
        <v>351.82</v>
      </c>
      <c r="F46" s="6">
        <f>(E46-E47)/E47</f>
        <v>-0.62811297619550976</v>
      </c>
      <c r="G46" s="6">
        <f>E46/$E$65</f>
        <v>1.7227660036010523E-2</v>
      </c>
      <c r="H46" s="10">
        <v>-594.22</v>
      </c>
    </row>
    <row r="47" spans="1:8" x14ac:dyDescent="0.3">
      <c r="A47" s="1" t="s">
        <v>11</v>
      </c>
      <c r="B47" s="10">
        <v>607.38</v>
      </c>
      <c r="C47" s="10">
        <v>0</v>
      </c>
      <c r="D47" s="10">
        <v>338.66</v>
      </c>
      <c r="E47" s="10">
        <v>946.04</v>
      </c>
      <c r="F47" s="10"/>
      <c r="G47" s="10"/>
      <c r="H47" s="10"/>
    </row>
    <row r="48" spans="1:8" x14ac:dyDescent="0.3">
      <c r="A48" s="1" t="s">
        <v>33</v>
      </c>
      <c r="B48" s="10">
        <v>236.14</v>
      </c>
      <c r="C48" s="10">
        <v>6.71</v>
      </c>
      <c r="D48" s="10">
        <v>50.23</v>
      </c>
      <c r="E48" s="10">
        <v>293.08</v>
      </c>
      <c r="F48" s="6">
        <f>(E48-E49)/E49</f>
        <v>-0.69043243129053389</v>
      </c>
      <c r="G48" s="6">
        <f>E48/$E$65</f>
        <v>1.4351323413546597E-2</v>
      </c>
      <c r="H48" s="10">
        <v>-653.66</v>
      </c>
    </row>
    <row r="49" spans="1:8" x14ac:dyDescent="0.3">
      <c r="A49" s="1" t="s">
        <v>11</v>
      </c>
      <c r="B49" s="10">
        <v>905.95</v>
      </c>
      <c r="C49" s="10">
        <v>7.11</v>
      </c>
      <c r="D49" s="10">
        <v>33.68</v>
      </c>
      <c r="E49" s="10">
        <v>946.74</v>
      </c>
      <c r="F49" s="10"/>
      <c r="G49" s="10"/>
      <c r="H49" s="10"/>
    </row>
    <row r="50" spans="1:8" x14ac:dyDescent="0.3">
      <c r="A50" s="1" t="s">
        <v>34</v>
      </c>
      <c r="B50" s="10">
        <v>0</v>
      </c>
      <c r="C50" s="10">
        <v>0</v>
      </c>
      <c r="D50" s="10">
        <v>20.440000000000001</v>
      </c>
      <c r="E50" s="10">
        <v>20.440000000000001</v>
      </c>
      <c r="F50" s="6">
        <f>(E50-E51)/E51</f>
        <v>14.253731343283583</v>
      </c>
      <c r="G50" s="6">
        <f>E50/$E$65</f>
        <v>1.0008907143881959E-3</v>
      </c>
      <c r="H50" s="10">
        <v>19.100000000000001</v>
      </c>
    </row>
    <row r="51" spans="1:8" x14ac:dyDescent="0.3">
      <c r="A51" s="1" t="s">
        <v>11</v>
      </c>
      <c r="B51" s="10">
        <v>0</v>
      </c>
      <c r="C51" s="10">
        <v>0</v>
      </c>
      <c r="D51" s="10">
        <v>1.34</v>
      </c>
      <c r="E51" s="10">
        <v>1.34</v>
      </c>
      <c r="F51" s="10"/>
      <c r="G51" s="10"/>
      <c r="H51" s="10"/>
    </row>
    <row r="52" spans="1:8" x14ac:dyDescent="0.3">
      <c r="A52" s="1" t="s">
        <v>35</v>
      </c>
      <c r="B52" s="10">
        <v>0</v>
      </c>
      <c r="C52" s="10">
        <v>0</v>
      </c>
      <c r="D52" s="10">
        <v>38.78</v>
      </c>
      <c r="E52" s="10">
        <v>38.78</v>
      </c>
      <c r="F52" s="6">
        <f>(E52-E53)/E53</f>
        <v>0.43736100815418832</v>
      </c>
      <c r="G52" s="6">
        <f>E52/$E$65</f>
        <v>1.8989501909967826E-3</v>
      </c>
      <c r="H52" s="10">
        <v>11.8</v>
      </c>
    </row>
    <row r="53" spans="1:8" x14ac:dyDescent="0.3">
      <c r="A53" s="1" t="s">
        <v>11</v>
      </c>
      <c r="B53" s="10">
        <v>0</v>
      </c>
      <c r="C53" s="10">
        <v>0</v>
      </c>
      <c r="D53" s="10">
        <v>26.98</v>
      </c>
      <c r="E53" s="10">
        <v>26.98</v>
      </c>
      <c r="F53" s="10"/>
      <c r="G53" s="10"/>
      <c r="H53" s="10"/>
    </row>
    <row r="54" spans="1:8" x14ac:dyDescent="0.3">
      <c r="A54" s="2" t="s">
        <v>36</v>
      </c>
      <c r="B54" s="4">
        <f t="shared" ref="B54:E54" si="0">SUM(B4+B6+B8+B10+B12+B14+B16+B18+B20+B22+B24+B26+B28+B30+B32+B34+B36+B38+B40+B42+B44+B46+B48+B50+B52)</f>
        <v>7494.2400000000007</v>
      </c>
      <c r="C54" s="4">
        <f t="shared" si="0"/>
        <v>731.7</v>
      </c>
      <c r="D54" s="4">
        <f t="shared" si="0"/>
        <v>4402.4299999999994</v>
      </c>
      <c r="E54" s="4">
        <f t="shared" si="0"/>
        <v>12628.369999999999</v>
      </c>
      <c r="F54" s="7">
        <f>(E54-E55)/E55</f>
        <v>-0.31045002356130025</v>
      </c>
      <c r="G54" s="7">
        <f>E54/$E$65</f>
        <v>0.61837662773280133</v>
      </c>
      <c r="H54" s="4">
        <f t="shared" ref="H54" si="1">SUM(H4+H6+H8+H10+H12+H14+H16+H18+H20+H22+H24+H26+H28+H30+H32+H34+H36+H38+H40+H42+H44+H46+H48+H50+H52)</f>
        <v>-5685.56</v>
      </c>
    </row>
    <row r="55" spans="1:8" x14ac:dyDescent="0.3">
      <c r="A55" s="1" t="s">
        <v>37</v>
      </c>
      <c r="B55" s="13">
        <f>SUM(B5+B7+B9+B11+B13+B15+B17+B19+B21+B23+B25+B27+B29+B31+B33+B35+B37+B39+B41+B43+B45+B47+B49+B51+B53)</f>
        <v>13628.51</v>
      </c>
      <c r="C55" s="13">
        <f>SUM(C5+C7+C9+C11+C13+C15+C17+C19+C21+C23+C25+C27+C29+C31+C33+C35+C37+C39+C41+C43+C45+C47+C49+C51+C53)</f>
        <v>407.87</v>
      </c>
      <c r="D55" s="13">
        <f>SUM(D5+D7+D9+D11+D13+D15+D17+D19+D21+D23+D25+D27+D29+D31+D33+D35+D37+D39+D41+D43+D45+D47+D49+D51+D53)</f>
        <v>4277.55</v>
      </c>
      <c r="E55" s="13">
        <f>SUM(E5+E7+E9+E11+E13+E15+E17+E19+E21+E23+E25+E27+E29+E31+E33+E35+E37+E39+E41+E43+E45+E47+E49+E51+E53)</f>
        <v>18313.930000000004</v>
      </c>
      <c r="F55" s="10"/>
      <c r="G55" s="10"/>
      <c r="H55" s="10"/>
    </row>
    <row r="56" spans="1:8" x14ac:dyDescent="0.3">
      <c r="A56" s="1" t="s">
        <v>38</v>
      </c>
      <c r="B56" s="14">
        <f>(B54-B55)/B55</f>
        <v>-0.45010569754140395</v>
      </c>
      <c r="C56" s="14">
        <f>(C54-C55)/C55</f>
        <v>0.79395395591732665</v>
      </c>
      <c r="D56" s="14">
        <f>(D54-D55)/D55</f>
        <v>2.919428177344489E-2</v>
      </c>
      <c r="E56" s="14">
        <f>(E54-E55)/E55</f>
        <v>-0.31045002356130025</v>
      </c>
      <c r="F56" s="10"/>
      <c r="G56" s="10"/>
      <c r="H56" s="10"/>
    </row>
    <row r="57" spans="1:8" x14ac:dyDescent="0.3">
      <c r="A57" s="2" t="s">
        <v>58</v>
      </c>
      <c r="B57" s="10"/>
      <c r="C57" s="10"/>
      <c r="D57" s="10"/>
      <c r="E57" s="10"/>
      <c r="F57" s="10"/>
      <c r="G57" s="10"/>
      <c r="H57" s="10"/>
    </row>
    <row r="58" spans="1:8" x14ac:dyDescent="0.3">
      <c r="A58" s="1" t="s">
        <v>59</v>
      </c>
      <c r="B58" s="10">
        <v>6953.3</v>
      </c>
      <c r="C58" s="10">
        <v>0</v>
      </c>
      <c r="D58" s="10">
        <v>62.8</v>
      </c>
      <c r="E58" s="10">
        <v>7016.1</v>
      </c>
      <c r="F58" s="6">
        <f>(E58-E59)/E59</f>
        <v>0.25792015834937992</v>
      </c>
      <c r="G58" s="6">
        <f>E58/$E$65</f>
        <v>0.34355916542167425</v>
      </c>
      <c r="H58" s="10">
        <v>1438.56</v>
      </c>
    </row>
    <row r="59" spans="1:8" x14ac:dyDescent="0.3">
      <c r="A59" s="1" t="s">
        <v>11</v>
      </c>
      <c r="B59" s="10">
        <v>5533.03</v>
      </c>
      <c r="C59" s="10">
        <v>0</v>
      </c>
      <c r="D59" s="10">
        <v>44.51</v>
      </c>
      <c r="E59" s="10">
        <v>5577.54</v>
      </c>
      <c r="F59" s="10"/>
      <c r="G59" s="10"/>
      <c r="H59" s="10"/>
    </row>
    <row r="60" spans="1:8" x14ac:dyDescent="0.3">
      <c r="A60" s="1" t="s">
        <v>60</v>
      </c>
      <c r="B60" s="10">
        <v>0</v>
      </c>
      <c r="C60" s="10">
        <v>777.34</v>
      </c>
      <c r="D60" s="10">
        <v>0</v>
      </c>
      <c r="E60" s="10">
        <v>777.34</v>
      </c>
      <c r="F60" s="6">
        <f>(E60-E61)/E61</f>
        <v>0.11256780546451212</v>
      </c>
      <c r="G60" s="6">
        <f>E60/$E$65</f>
        <v>3.8064206845524473E-2</v>
      </c>
      <c r="H60" s="10">
        <v>78.650000000000006</v>
      </c>
    </row>
    <row r="61" spans="1:8" x14ac:dyDescent="0.3">
      <c r="A61" s="1" t="s">
        <v>11</v>
      </c>
      <c r="B61" s="10">
        <v>0</v>
      </c>
      <c r="C61" s="10">
        <v>698.69</v>
      </c>
      <c r="D61" s="10">
        <v>0</v>
      </c>
      <c r="E61" s="10">
        <v>698.69</v>
      </c>
      <c r="F61" s="10"/>
      <c r="G61" s="10"/>
      <c r="H61" s="10"/>
    </row>
    <row r="62" spans="1:8" x14ac:dyDescent="0.3">
      <c r="A62" s="2" t="s">
        <v>61</v>
      </c>
      <c r="B62" s="15">
        <f>SUM(B58+B60)</f>
        <v>6953.3</v>
      </c>
      <c r="C62" s="15">
        <f>SUM(C58+C60)</f>
        <v>777.34</v>
      </c>
      <c r="D62" s="15">
        <f>SUM(D58+D60)</f>
        <v>62.8</v>
      </c>
      <c r="E62" s="15">
        <f>SUM(E58+E60)</f>
        <v>7793.4400000000005</v>
      </c>
      <c r="F62" s="7">
        <f>(E62-E63)/E63</f>
        <v>0.2417390694732349</v>
      </c>
      <c r="G62" s="7">
        <f>E62/$E$65</f>
        <v>0.38162337226719872</v>
      </c>
      <c r="H62" s="15">
        <f>SUM(H58+H60)</f>
        <v>1517.21</v>
      </c>
    </row>
    <row r="63" spans="1:8" x14ac:dyDescent="0.3">
      <c r="A63" s="1" t="s">
        <v>37</v>
      </c>
      <c r="B63" s="12">
        <f>B59+B61</f>
        <v>5533.03</v>
      </c>
      <c r="C63" s="12">
        <f>C59+C61</f>
        <v>698.69</v>
      </c>
      <c r="D63" s="12">
        <f>D59+D61</f>
        <v>44.51</v>
      </c>
      <c r="E63" s="12">
        <f>E59+E61</f>
        <v>6276.23</v>
      </c>
      <c r="F63" s="10"/>
      <c r="G63" s="10"/>
      <c r="H63" s="10"/>
    </row>
    <row r="64" spans="1:8" x14ac:dyDescent="0.3">
      <c r="A64" s="1" t="s">
        <v>38</v>
      </c>
      <c r="B64" s="14">
        <f>(B62-B63)/B63</f>
        <v>0.25668937273067388</v>
      </c>
      <c r="C64" s="14">
        <f>(C62-C63)/C63</f>
        <v>0.11256780546451212</v>
      </c>
      <c r="D64" s="14">
        <f>(D62-D63)/D63</f>
        <v>0.41091889463042014</v>
      </c>
      <c r="E64" s="14">
        <f>(E62-E63)/E63</f>
        <v>0.2417390694732349</v>
      </c>
      <c r="F64" s="10"/>
      <c r="G64" s="10"/>
      <c r="H64" s="10"/>
    </row>
    <row r="65" spans="1:18" x14ac:dyDescent="0.3">
      <c r="A65" s="2" t="s">
        <v>48</v>
      </c>
      <c r="B65" s="5">
        <f t="shared" ref="B65:E66" si="2">SUM(B54+B62)</f>
        <v>14447.54</v>
      </c>
      <c r="C65" s="5">
        <f t="shared" si="2"/>
        <v>1509.04</v>
      </c>
      <c r="D65" s="5">
        <f t="shared" si="2"/>
        <v>4465.2299999999996</v>
      </c>
      <c r="E65" s="5">
        <f t="shared" si="2"/>
        <v>20421.809999999998</v>
      </c>
      <c r="F65" s="7">
        <f>(E65-E66)/E66</f>
        <v>-0.16951292712206856</v>
      </c>
      <c r="G65" s="7">
        <f>E65/$E$65</f>
        <v>1</v>
      </c>
      <c r="H65" s="5">
        <f t="shared" ref="H65" si="3">SUM(H54+H62)</f>
        <v>-4168.3500000000004</v>
      </c>
    </row>
    <row r="66" spans="1:18" x14ac:dyDescent="0.3">
      <c r="A66" s="1" t="s">
        <v>37</v>
      </c>
      <c r="B66" s="12">
        <f t="shared" si="2"/>
        <v>19161.54</v>
      </c>
      <c r="C66" s="12">
        <f t="shared" si="2"/>
        <v>1106.56</v>
      </c>
      <c r="D66" s="12">
        <f t="shared" si="2"/>
        <v>4322.0600000000004</v>
      </c>
      <c r="E66" s="12">
        <f t="shared" si="2"/>
        <v>24590.160000000003</v>
      </c>
      <c r="F66" s="10"/>
      <c r="G66" s="10"/>
      <c r="H66" s="10"/>
    </row>
    <row r="67" spans="1:18" x14ac:dyDescent="0.3">
      <c r="A67" s="1" t="s">
        <v>38</v>
      </c>
      <c r="B67" s="6">
        <f>(B65-B66)/B66</f>
        <v>-0.24601362938469454</v>
      </c>
      <c r="C67" s="6">
        <f>(C65-C66)/C66</f>
        <v>0.36372180451127822</v>
      </c>
      <c r="D67" s="6">
        <f>(D65-D66)/D66</f>
        <v>3.312540779165471E-2</v>
      </c>
      <c r="E67" s="6">
        <f>(E65-E66)/E66</f>
        <v>-0.16951292712206856</v>
      </c>
      <c r="F67" s="10"/>
      <c r="G67" s="10"/>
      <c r="H67" s="10"/>
    </row>
    <row r="68" spans="1:18" x14ac:dyDescent="0.3">
      <c r="A68" s="1" t="s">
        <v>49</v>
      </c>
      <c r="B68" s="6">
        <f>B65/$E$65</f>
        <v>0.70745639098591173</v>
      </c>
      <c r="C68" s="6">
        <f>C65/$E$65</f>
        <v>7.3893548123305439E-2</v>
      </c>
      <c r="D68" s="6">
        <f>D65/$E$65</f>
        <v>0.21865006089078295</v>
      </c>
      <c r="E68" s="6">
        <f>E65/$E$65</f>
        <v>1</v>
      </c>
      <c r="F68" s="10"/>
      <c r="G68" s="10"/>
      <c r="H68" s="10"/>
    </row>
    <row r="69" spans="1:18" x14ac:dyDescent="0.3">
      <c r="A69" s="1" t="s">
        <v>50</v>
      </c>
      <c r="B69" s="6">
        <f>B66/$E$66</f>
        <v>0.7792360846777735</v>
      </c>
      <c r="C69" s="6">
        <f>C66/$E$66</f>
        <v>4.5000113866684878E-2</v>
      </c>
      <c r="D69" s="6">
        <f>D66/$E$66</f>
        <v>0.17576380145554155</v>
      </c>
      <c r="E69" s="6">
        <f>E66/$E$66</f>
        <v>1</v>
      </c>
      <c r="F69" s="10"/>
      <c r="G69" s="10"/>
      <c r="H69" s="10"/>
    </row>
    <row r="71" spans="1:18" ht="61.2" customHeight="1" x14ac:dyDescent="0.3">
      <c r="A71" s="21" t="s">
        <v>75</v>
      </c>
      <c r="B71" s="21"/>
      <c r="C71" s="21"/>
      <c r="D71" s="21"/>
      <c r="E71" s="21"/>
      <c r="F71" s="21"/>
      <c r="G71" s="21"/>
      <c r="H71" s="21"/>
      <c r="I71" s="18"/>
      <c r="J71" s="18"/>
      <c r="K71" s="18"/>
      <c r="L71" s="18"/>
      <c r="M71" s="18"/>
      <c r="N71" s="18"/>
      <c r="O71" s="18"/>
      <c r="P71" s="18"/>
      <c r="Q71" s="18"/>
      <c r="R71" s="18"/>
    </row>
  </sheetData>
  <mergeCells count="2">
    <mergeCell ref="A1:H1"/>
    <mergeCell ref="A71:H7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89"/>
  <sheetViews>
    <sheetView tabSelected="1" zoomScale="95" zoomScaleNormal="95" workbookViewId="0">
      <selection activeCell="A89" sqref="A89:R89"/>
    </sheetView>
  </sheetViews>
  <sheetFormatPr defaultRowHeight="14.4" x14ac:dyDescent="0.3"/>
  <cols>
    <col min="1" max="1" width="39.21875" customWidth="1"/>
    <col min="2" max="2" width="14" customWidth="1"/>
    <col min="3" max="3" width="10.5546875" customWidth="1"/>
    <col min="4" max="4" width="10.77734375" customWidth="1"/>
    <col min="6" max="6" width="11.21875" customWidth="1"/>
    <col min="7" max="7" width="11.6640625" customWidth="1"/>
    <col min="8" max="8" width="11.109375" customWidth="1"/>
    <col min="9" max="9" width="13" customWidth="1"/>
    <col min="10" max="10" width="12.109375" customWidth="1"/>
    <col min="12" max="12" width="11.33203125" customWidth="1"/>
    <col min="13" max="13" width="12.5546875" customWidth="1"/>
    <col min="14" max="14" width="12.44140625" customWidth="1"/>
    <col min="15" max="15" width="11.88671875" customWidth="1"/>
  </cols>
  <sheetData>
    <row r="1" spans="1:18" ht="39" customHeight="1" x14ac:dyDescent="0.3">
      <c r="A1" s="22" t="s">
        <v>0</v>
      </c>
      <c r="B1" s="22"/>
      <c r="C1" s="22"/>
      <c r="D1" s="22"/>
      <c r="E1" s="22"/>
      <c r="F1" s="22"/>
      <c r="G1" s="22"/>
      <c r="H1" s="22"/>
      <c r="I1" s="22"/>
      <c r="J1" s="22"/>
      <c r="K1" s="22"/>
      <c r="L1" s="22"/>
      <c r="M1" s="22"/>
      <c r="N1" s="22"/>
      <c r="O1" s="22"/>
      <c r="P1" s="22"/>
      <c r="Q1" s="22"/>
      <c r="R1" s="22"/>
    </row>
    <row r="2" spans="1:18" ht="33.6" customHeight="1" x14ac:dyDescent="0.3">
      <c r="A2" s="3"/>
      <c r="B2" s="3" t="s">
        <v>62</v>
      </c>
      <c r="C2" s="3" t="s">
        <v>63</v>
      </c>
      <c r="D2" s="3" t="s">
        <v>64</v>
      </c>
      <c r="E2" s="3" t="s">
        <v>65</v>
      </c>
      <c r="F2" s="3" t="s">
        <v>66</v>
      </c>
      <c r="G2" s="3" t="s">
        <v>67</v>
      </c>
      <c r="H2" s="3" t="s">
        <v>68</v>
      </c>
      <c r="I2" s="3" t="s">
        <v>69</v>
      </c>
      <c r="J2" s="3" t="s">
        <v>70</v>
      </c>
      <c r="K2" s="3" t="s">
        <v>71</v>
      </c>
      <c r="L2" s="3" t="s">
        <v>72</v>
      </c>
      <c r="M2" s="3" t="s">
        <v>73</v>
      </c>
      <c r="N2" s="3" t="s">
        <v>74</v>
      </c>
      <c r="O2" s="3" t="s">
        <v>5</v>
      </c>
      <c r="P2" s="3" t="s">
        <v>6</v>
      </c>
      <c r="Q2" s="3" t="s">
        <v>7</v>
      </c>
      <c r="R2" s="3" t="s">
        <v>8</v>
      </c>
    </row>
    <row r="3" spans="1:18" x14ac:dyDescent="0.3">
      <c r="A3" s="2" t="s">
        <v>9</v>
      </c>
      <c r="B3" s="1"/>
      <c r="C3" s="1"/>
      <c r="D3" s="1"/>
      <c r="E3" s="1"/>
      <c r="F3" s="1"/>
      <c r="G3" s="1"/>
      <c r="H3" s="1"/>
      <c r="I3" s="1"/>
      <c r="J3" s="1"/>
      <c r="K3" s="1"/>
      <c r="L3" s="1"/>
      <c r="M3" s="1"/>
      <c r="N3" s="1"/>
      <c r="O3" s="1"/>
      <c r="P3" s="1"/>
      <c r="Q3" s="1"/>
      <c r="R3" s="1"/>
    </row>
    <row r="4" spans="1:18" x14ac:dyDescent="0.3">
      <c r="A4" s="1" t="s">
        <v>10</v>
      </c>
      <c r="B4" s="1">
        <v>0.01</v>
      </c>
      <c r="C4" s="10">
        <v>0</v>
      </c>
      <c r="D4" s="10">
        <v>0</v>
      </c>
      <c r="E4" s="10">
        <v>0</v>
      </c>
      <c r="F4" s="10">
        <v>0</v>
      </c>
      <c r="G4" s="1">
        <v>633.47</v>
      </c>
      <c r="H4" s="1">
        <v>260.14999999999998</v>
      </c>
      <c r="I4" s="1">
        <v>373.32</v>
      </c>
      <c r="J4" s="1">
        <v>690.26</v>
      </c>
      <c r="K4" s="10">
        <v>0</v>
      </c>
      <c r="L4" s="1">
        <v>24.22</v>
      </c>
      <c r="M4" s="1">
        <v>6.99</v>
      </c>
      <c r="N4" s="1">
        <v>52.6</v>
      </c>
      <c r="O4" s="1">
        <v>1407.55</v>
      </c>
      <c r="P4" s="6">
        <f>(O4-O5)/O5</f>
        <v>0.16555704609065772</v>
      </c>
      <c r="Q4" s="6">
        <f>O4/$O$83</f>
        <v>7.2300620592098182E-3</v>
      </c>
      <c r="R4" s="1">
        <v>199.93</v>
      </c>
    </row>
    <row r="5" spans="1:18" x14ac:dyDescent="0.3">
      <c r="A5" s="1" t="s">
        <v>11</v>
      </c>
      <c r="B5" s="10">
        <v>0</v>
      </c>
      <c r="C5" s="10">
        <v>0</v>
      </c>
      <c r="D5" s="10">
        <v>0</v>
      </c>
      <c r="E5" s="10">
        <v>0</v>
      </c>
      <c r="F5" s="10">
        <v>0</v>
      </c>
      <c r="G5" s="1">
        <v>536.96</v>
      </c>
      <c r="H5" s="1">
        <v>200.61</v>
      </c>
      <c r="I5" s="1">
        <v>336.35</v>
      </c>
      <c r="J5" s="1">
        <v>578.83000000000004</v>
      </c>
      <c r="K5" s="10">
        <v>0</v>
      </c>
      <c r="L5" s="1">
        <v>44.58</v>
      </c>
      <c r="M5" s="1">
        <v>4.34</v>
      </c>
      <c r="N5" s="1">
        <v>42.91</v>
      </c>
      <c r="O5" s="1">
        <v>1207.6199999999999</v>
      </c>
      <c r="P5" s="1"/>
      <c r="Q5" s="1"/>
      <c r="R5" s="1"/>
    </row>
    <row r="6" spans="1:18" x14ac:dyDescent="0.3">
      <c r="A6" s="1" t="s">
        <v>12</v>
      </c>
      <c r="B6" s="1">
        <v>1933.23</v>
      </c>
      <c r="C6" s="1">
        <v>239.62</v>
      </c>
      <c r="D6" s="1">
        <v>222.93</v>
      </c>
      <c r="E6" s="1">
        <v>16.690000000000001</v>
      </c>
      <c r="F6" s="1">
        <v>321.89</v>
      </c>
      <c r="G6" s="1">
        <v>4204.1099999999997</v>
      </c>
      <c r="H6" s="1">
        <v>1928.83</v>
      </c>
      <c r="I6" s="1">
        <v>2275.2800000000002</v>
      </c>
      <c r="J6" s="1">
        <v>4362.67</v>
      </c>
      <c r="K6" s="1">
        <v>9.4600000000000009</v>
      </c>
      <c r="L6" s="1">
        <v>558.29999999999995</v>
      </c>
      <c r="M6" s="1">
        <v>122.03</v>
      </c>
      <c r="N6" s="1">
        <v>1713.17</v>
      </c>
      <c r="O6" s="1">
        <v>13464.48</v>
      </c>
      <c r="P6" s="6">
        <f>(O6-O7)/O7</f>
        <v>-6.6060802379434735E-2</v>
      </c>
      <c r="Q6" s="6">
        <f>O6/$O$83</f>
        <v>6.9162037579474561E-2</v>
      </c>
      <c r="R6" s="1">
        <v>-952.39</v>
      </c>
    </row>
    <row r="7" spans="1:18" x14ac:dyDescent="0.3">
      <c r="A7" s="1" t="s">
        <v>11</v>
      </c>
      <c r="B7" s="1">
        <v>1761.97</v>
      </c>
      <c r="C7" s="1">
        <v>214.04</v>
      </c>
      <c r="D7" s="1">
        <v>191.8</v>
      </c>
      <c r="E7" s="1">
        <v>22.24</v>
      </c>
      <c r="F7" s="1">
        <v>274.64</v>
      </c>
      <c r="G7" s="1">
        <v>3540.99</v>
      </c>
      <c r="H7" s="1">
        <v>1842.96</v>
      </c>
      <c r="I7" s="1">
        <v>1698.03</v>
      </c>
      <c r="J7" s="1">
        <v>6417.88</v>
      </c>
      <c r="K7" s="1">
        <v>8.6300000000000008</v>
      </c>
      <c r="L7" s="1">
        <v>476.7</v>
      </c>
      <c r="M7" s="1">
        <v>145.38</v>
      </c>
      <c r="N7" s="1">
        <v>1576.64</v>
      </c>
      <c r="O7" s="1">
        <v>14416.87</v>
      </c>
      <c r="P7" s="1"/>
      <c r="Q7" s="1"/>
      <c r="R7" s="1"/>
    </row>
    <row r="8" spans="1:18" x14ac:dyDescent="0.3">
      <c r="A8" s="1" t="s">
        <v>13</v>
      </c>
      <c r="B8" s="1">
        <v>432.23</v>
      </c>
      <c r="C8" s="1">
        <v>106.72</v>
      </c>
      <c r="D8" s="1">
        <v>89.2</v>
      </c>
      <c r="E8" s="1">
        <v>17.52</v>
      </c>
      <c r="F8" s="1">
        <v>25</v>
      </c>
      <c r="G8" s="1">
        <v>3096.74</v>
      </c>
      <c r="H8" s="1">
        <v>1472.39</v>
      </c>
      <c r="I8" s="1">
        <v>1624.34</v>
      </c>
      <c r="J8" s="1">
        <v>591.04</v>
      </c>
      <c r="K8" s="10">
        <v>0</v>
      </c>
      <c r="L8" s="1">
        <v>18.66</v>
      </c>
      <c r="M8" s="1">
        <v>124.81</v>
      </c>
      <c r="N8" s="1">
        <v>27.48</v>
      </c>
      <c r="O8" s="1">
        <v>4422.67</v>
      </c>
      <c r="P8" s="6">
        <f>(O8-O9)/O9</f>
        <v>-8.3836366724807251E-2</v>
      </c>
      <c r="Q8" s="6">
        <f>O8/$O$83</f>
        <v>2.2717614697456919E-2</v>
      </c>
      <c r="R8" s="1">
        <v>-404.71</v>
      </c>
    </row>
    <row r="9" spans="1:18" x14ac:dyDescent="0.3">
      <c r="A9" s="1" t="s">
        <v>11</v>
      </c>
      <c r="B9" s="1">
        <v>442.91</v>
      </c>
      <c r="C9" s="1">
        <v>92.92</v>
      </c>
      <c r="D9" s="1">
        <v>81.17</v>
      </c>
      <c r="E9" s="1">
        <v>11.75</v>
      </c>
      <c r="F9" s="1">
        <v>23.01</v>
      </c>
      <c r="G9" s="1">
        <v>2970.77</v>
      </c>
      <c r="H9" s="1">
        <v>1254.32</v>
      </c>
      <c r="I9" s="1">
        <v>1716.45</v>
      </c>
      <c r="J9" s="1">
        <v>622.14</v>
      </c>
      <c r="K9" s="10">
        <v>0</v>
      </c>
      <c r="L9" s="1">
        <v>16.54</v>
      </c>
      <c r="M9" s="1">
        <v>199.49</v>
      </c>
      <c r="N9" s="1">
        <v>459.6</v>
      </c>
      <c r="O9" s="1">
        <v>4827.38</v>
      </c>
      <c r="P9" s="1"/>
      <c r="Q9" s="1"/>
      <c r="R9" s="1"/>
    </row>
    <row r="10" spans="1:18" x14ac:dyDescent="0.3">
      <c r="A10" s="1" t="s">
        <v>14</v>
      </c>
      <c r="B10" s="1">
        <v>475.74</v>
      </c>
      <c r="C10" s="1">
        <v>91.73</v>
      </c>
      <c r="D10" s="1">
        <v>89.66</v>
      </c>
      <c r="E10" s="1">
        <v>2.0699999999999998</v>
      </c>
      <c r="F10" s="1">
        <v>60.85</v>
      </c>
      <c r="G10" s="1">
        <v>1097.21</v>
      </c>
      <c r="H10" s="1">
        <v>515.32000000000005</v>
      </c>
      <c r="I10" s="1">
        <v>581.89</v>
      </c>
      <c r="J10" s="1">
        <v>884.44</v>
      </c>
      <c r="K10" s="10">
        <v>0</v>
      </c>
      <c r="L10" s="1">
        <v>45.44</v>
      </c>
      <c r="M10" s="1">
        <v>69.23</v>
      </c>
      <c r="N10" s="1">
        <v>285.77</v>
      </c>
      <c r="O10" s="1">
        <v>3010.41</v>
      </c>
      <c r="P10" s="6">
        <f>(O10-O11)/O11</f>
        <v>-6.1996398058192001E-2</v>
      </c>
      <c r="Q10" s="6">
        <f>O10/$O$83</f>
        <v>1.5463359115957392E-2</v>
      </c>
      <c r="R10" s="1">
        <v>-198.97</v>
      </c>
    </row>
    <row r="11" spans="1:18" x14ac:dyDescent="0.3">
      <c r="A11" s="1" t="s">
        <v>11</v>
      </c>
      <c r="B11" s="1">
        <v>356.87</v>
      </c>
      <c r="C11" s="1">
        <v>81.349999999999994</v>
      </c>
      <c r="D11" s="1">
        <v>79.459999999999994</v>
      </c>
      <c r="E11" s="1">
        <v>1.89</v>
      </c>
      <c r="F11" s="1">
        <v>61.6</v>
      </c>
      <c r="G11" s="1">
        <v>1088.6099999999999</v>
      </c>
      <c r="H11" s="1">
        <v>482.96</v>
      </c>
      <c r="I11" s="1">
        <v>605.64</v>
      </c>
      <c r="J11" s="1">
        <v>1114.8499999999999</v>
      </c>
      <c r="K11" s="10">
        <v>0</v>
      </c>
      <c r="L11" s="1">
        <v>43.04</v>
      </c>
      <c r="M11" s="1">
        <v>70.86</v>
      </c>
      <c r="N11" s="1">
        <v>392.21</v>
      </c>
      <c r="O11" s="1">
        <v>3209.38</v>
      </c>
      <c r="P11" s="1"/>
      <c r="Q11" s="1"/>
      <c r="R11" s="1"/>
    </row>
    <row r="12" spans="1:18" x14ac:dyDescent="0.3">
      <c r="A12" s="1" t="s">
        <v>15</v>
      </c>
      <c r="B12" s="1">
        <v>519.4</v>
      </c>
      <c r="C12" s="1">
        <v>37.64</v>
      </c>
      <c r="D12" s="1">
        <v>37.61</v>
      </c>
      <c r="E12" s="1">
        <v>0.02</v>
      </c>
      <c r="F12" s="1">
        <v>106.59</v>
      </c>
      <c r="G12" s="1">
        <v>3868.62</v>
      </c>
      <c r="H12" s="1">
        <v>1481.18</v>
      </c>
      <c r="I12" s="1">
        <v>2387.44</v>
      </c>
      <c r="J12" s="1">
        <v>841.65</v>
      </c>
      <c r="K12" s="1">
        <v>1.02</v>
      </c>
      <c r="L12" s="1">
        <v>154.54</v>
      </c>
      <c r="M12" s="1">
        <v>215.58</v>
      </c>
      <c r="N12" s="1">
        <v>140.81</v>
      </c>
      <c r="O12" s="1">
        <v>5885.84</v>
      </c>
      <c r="P12" s="6">
        <f>(O12-O13)/O13</f>
        <v>0.13092884331233196</v>
      </c>
      <c r="Q12" s="6">
        <f>O12/$O$83</f>
        <v>3.0233376058100614E-2</v>
      </c>
      <c r="R12" s="1">
        <v>681.41</v>
      </c>
    </row>
    <row r="13" spans="1:18" x14ac:dyDescent="0.3">
      <c r="A13" s="1" t="s">
        <v>11</v>
      </c>
      <c r="B13" s="1">
        <v>346.75</v>
      </c>
      <c r="C13" s="1">
        <v>35.659999999999997</v>
      </c>
      <c r="D13" s="1">
        <v>35.659999999999997</v>
      </c>
      <c r="E13" s="10">
        <v>0</v>
      </c>
      <c r="F13" s="1">
        <v>72.75</v>
      </c>
      <c r="G13" s="1">
        <v>3407.16</v>
      </c>
      <c r="H13" s="1">
        <v>1326.05</v>
      </c>
      <c r="I13" s="1">
        <v>2081.11</v>
      </c>
      <c r="J13" s="1">
        <v>777.57</v>
      </c>
      <c r="K13" s="10">
        <v>0</v>
      </c>
      <c r="L13" s="1">
        <v>81.95</v>
      </c>
      <c r="M13" s="1">
        <v>370.11</v>
      </c>
      <c r="N13" s="1">
        <v>112.48</v>
      </c>
      <c r="O13" s="1">
        <v>5204.43</v>
      </c>
      <c r="P13" s="1"/>
      <c r="Q13" s="1"/>
      <c r="R13" s="1"/>
    </row>
    <row r="14" spans="1:18" x14ac:dyDescent="0.3">
      <c r="A14" s="1" t="s">
        <v>16</v>
      </c>
      <c r="B14" s="1">
        <v>1357.84</v>
      </c>
      <c r="C14" s="1">
        <v>99.64</v>
      </c>
      <c r="D14" s="1">
        <v>93.58</v>
      </c>
      <c r="E14" s="1">
        <v>6.06</v>
      </c>
      <c r="F14" s="1">
        <v>236.16</v>
      </c>
      <c r="G14" s="1">
        <v>1502.29</v>
      </c>
      <c r="H14" s="1">
        <v>966.22</v>
      </c>
      <c r="I14" s="1">
        <v>536.07000000000005</v>
      </c>
      <c r="J14" s="1">
        <v>3377.15</v>
      </c>
      <c r="K14" s="1">
        <v>5.39</v>
      </c>
      <c r="L14" s="1">
        <v>470.31</v>
      </c>
      <c r="M14" s="1">
        <v>309.08999999999997</v>
      </c>
      <c r="N14" s="1">
        <v>1257.8699999999999</v>
      </c>
      <c r="O14" s="1">
        <v>8615.74</v>
      </c>
      <c r="P14" s="6">
        <f>(O14-O15)/O15</f>
        <v>-0.16598760753382949</v>
      </c>
      <c r="Q14" s="6">
        <f>O14/$O$83</f>
        <v>4.4255859391152286E-2</v>
      </c>
      <c r="R14" s="1">
        <v>-1714.73</v>
      </c>
    </row>
    <row r="15" spans="1:18" x14ac:dyDescent="0.3">
      <c r="A15" s="1" t="s">
        <v>11</v>
      </c>
      <c r="B15" s="1">
        <v>1319.25</v>
      </c>
      <c r="C15" s="1">
        <v>113.49</v>
      </c>
      <c r="D15" s="1">
        <v>101.55</v>
      </c>
      <c r="E15" s="1">
        <v>11.94</v>
      </c>
      <c r="F15" s="1">
        <v>205.28</v>
      </c>
      <c r="G15" s="1">
        <v>1971.79</v>
      </c>
      <c r="H15" s="1">
        <v>1263.1300000000001</v>
      </c>
      <c r="I15" s="1">
        <v>708.66</v>
      </c>
      <c r="J15" s="1">
        <v>3401.08</v>
      </c>
      <c r="K15" s="1">
        <v>17.72</v>
      </c>
      <c r="L15" s="1">
        <v>472.18</v>
      </c>
      <c r="M15" s="1">
        <v>246.5</v>
      </c>
      <c r="N15" s="1">
        <v>2583.1799999999998</v>
      </c>
      <c r="O15" s="1">
        <v>10330.469999999999</v>
      </c>
      <c r="P15" s="1"/>
      <c r="Q15" s="1"/>
      <c r="R15" s="1"/>
    </row>
    <row r="16" spans="1:18" x14ac:dyDescent="0.3">
      <c r="A16" s="1" t="s">
        <v>17</v>
      </c>
      <c r="B16" s="1">
        <v>2398.87</v>
      </c>
      <c r="C16" s="1">
        <v>571.51</v>
      </c>
      <c r="D16" s="1">
        <v>510.81</v>
      </c>
      <c r="E16" s="1">
        <v>60.71</v>
      </c>
      <c r="F16" s="1">
        <v>685.94</v>
      </c>
      <c r="G16" s="1">
        <v>6255.95</v>
      </c>
      <c r="H16" s="1">
        <v>3220.5</v>
      </c>
      <c r="I16" s="1">
        <v>3035.45</v>
      </c>
      <c r="J16" s="1">
        <v>4838.1899999999996</v>
      </c>
      <c r="K16" s="1">
        <v>99.77</v>
      </c>
      <c r="L16" s="1">
        <v>640.95000000000005</v>
      </c>
      <c r="M16" s="1">
        <v>275.73</v>
      </c>
      <c r="N16" s="1">
        <v>1140.47</v>
      </c>
      <c r="O16" s="1">
        <v>16907.39</v>
      </c>
      <c r="P16" s="6">
        <f>(O16-O17)/O17</f>
        <v>1.7055605617467835E-2</v>
      </c>
      <c r="Q16" s="6">
        <f>O16/$O$83</f>
        <v>8.6846988710357342E-2</v>
      </c>
      <c r="R16" s="1">
        <v>283.52999999999997</v>
      </c>
    </row>
    <row r="17" spans="1:18" x14ac:dyDescent="0.3">
      <c r="A17" s="1" t="s">
        <v>11</v>
      </c>
      <c r="B17" s="1">
        <v>2091.4899999999998</v>
      </c>
      <c r="C17" s="1">
        <v>594.72</v>
      </c>
      <c r="D17" s="1">
        <v>531.91999999999996</v>
      </c>
      <c r="E17" s="1">
        <v>62.8</v>
      </c>
      <c r="F17" s="1">
        <v>589.87</v>
      </c>
      <c r="G17" s="1">
        <v>6028.37</v>
      </c>
      <c r="H17" s="1">
        <v>3094.07</v>
      </c>
      <c r="I17" s="1">
        <v>2934.3</v>
      </c>
      <c r="J17" s="1">
        <v>4442.32</v>
      </c>
      <c r="K17" s="1">
        <v>113.97</v>
      </c>
      <c r="L17" s="1">
        <v>683.91</v>
      </c>
      <c r="M17" s="1">
        <v>367.69</v>
      </c>
      <c r="N17" s="1">
        <v>1711.52</v>
      </c>
      <c r="O17" s="1">
        <v>16623.86</v>
      </c>
      <c r="P17" s="1"/>
      <c r="Q17" s="1"/>
      <c r="R17" s="1"/>
    </row>
    <row r="18" spans="1:18" x14ac:dyDescent="0.3">
      <c r="A18" s="1" t="s">
        <v>18</v>
      </c>
      <c r="B18" s="1">
        <v>734.88</v>
      </c>
      <c r="C18" s="1">
        <v>231.6</v>
      </c>
      <c r="D18" s="1">
        <v>216.49</v>
      </c>
      <c r="E18" s="1">
        <v>15.11</v>
      </c>
      <c r="F18" s="1">
        <v>207.15</v>
      </c>
      <c r="G18" s="1">
        <v>2289.84</v>
      </c>
      <c r="H18" s="1">
        <v>1092.1099999999999</v>
      </c>
      <c r="I18" s="1">
        <v>1197.73</v>
      </c>
      <c r="J18" s="1">
        <v>543.69000000000005</v>
      </c>
      <c r="K18" s="1">
        <v>-7.0000000000000007E-2</v>
      </c>
      <c r="L18" s="1">
        <v>208.71</v>
      </c>
      <c r="M18" s="1">
        <v>69.44</v>
      </c>
      <c r="N18" s="1">
        <v>910.45</v>
      </c>
      <c r="O18" s="1">
        <v>5195.6899999999996</v>
      </c>
      <c r="P18" s="6">
        <f>(O18-O19)/O19</f>
        <v>6.06804193163143E-2</v>
      </c>
      <c r="Q18" s="6">
        <f>O18/$O$83</f>
        <v>2.6688331597752021E-2</v>
      </c>
      <c r="R18" s="1">
        <v>297.24</v>
      </c>
    </row>
    <row r="19" spans="1:18" x14ac:dyDescent="0.3">
      <c r="A19" s="1" t="s">
        <v>11</v>
      </c>
      <c r="B19" s="1">
        <v>609.91</v>
      </c>
      <c r="C19" s="1">
        <v>194.56</v>
      </c>
      <c r="D19" s="1">
        <v>182.88</v>
      </c>
      <c r="E19" s="1">
        <v>11.69</v>
      </c>
      <c r="F19" s="1">
        <v>163.22</v>
      </c>
      <c r="G19" s="1">
        <v>2241.83</v>
      </c>
      <c r="H19" s="1">
        <v>1086.48</v>
      </c>
      <c r="I19" s="1">
        <v>1155.3599999999999</v>
      </c>
      <c r="J19" s="1">
        <v>505.86</v>
      </c>
      <c r="K19" s="10">
        <v>0</v>
      </c>
      <c r="L19" s="1">
        <v>158.16</v>
      </c>
      <c r="M19" s="1">
        <v>77.290000000000006</v>
      </c>
      <c r="N19" s="1">
        <v>947.6</v>
      </c>
      <c r="O19" s="1">
        <v>4898.45</v>
      </c>
      <c r="P19" s="1"/>
      <c r="Q19" s="1"/>
      <c r="R19" s="1"/>
    </row>
    <row r="20" spans="1:18" x14ac:dyDescent="0.3">
      <c r="A20" s="1" t="s">
        <v>19</v>
      </c>
      <c r="B20" s="10">
        <v>0</v>
      </c>
      <c r="C20" s="10">
        <v>0</v>
      </c>
      <c r="D20" s="10">
        <v>0</v>
      </c>
      <c r="E20" s="10">
        <v>0</v>
      </c>
      <c r="F20" s="10">
        <v>0</v>
      </c>
      <c r="G20" s="10">
        <v>0</v>
      </c>
      <c r="H20" s="10">
        <v>0</v>
      </c>
      <c r="I20" s="10">
        <v>0</v>
      </c>
      <c r="J20" s="1">
        <v>0.03</v>
      </c>
      <c r="K20" s="10">
        <v>0</v>
      </c>
      <c r="L20" s="10">
        <v>0</v>
      </c>
      <c r="M20" s="10">
        <v>0</v>
      </c>
      <c r="N20" s="1">
        <v>520.97</v>
      </c>
      <c r="O20" s="1">
        <v>521</v>
      </c>
      <c r="P20" s="6">
        <f>(O20-O21)/O21</f>
        <v>-0.25575681389634874</v>
      </c>
      <c r="Q20" s="6">
        <f>O20/$O$83</f>
        <v>2.6761836757829669E-3</v>
      </c>
      <c r="R20" s="1">
        <v>-179.04</v>
      </c>
    </row>
    <row r="21" spans="1:18" x14ac:dyDescent="0.3">
      <c r="A21" s="1" t="s">
        <v>11</v>
      </c>
      <c r="B21" s="10">
        <v>0</v>
      </c>
      <c r="C21" s="10">
        <v>0</v>
      </c>
      <c r="D21" s="10">
        <v>0</v>
      </c>
      <c r="E21" s="10">
        <v>0</v>
      </c>
      <c r="F21" s="10">
        <v>0</v>
      </c>
      <c r="G21" s="10">
        <v>0</v>
      </c>
      <c r="H21" s="10">
        <v>0</v>
      </c>
      <c r="I21" s="10">
        <v>0</v>
      </c>
      <c r="J21" s="10">
        <v>0</v>
      </c>
      <c r="K21" s="10">
        <v>0</v>
      </c>
      <c r="L21" s="10">
        <v>0</v>
      </c>
      <c r="M21" s="10">
        <v>0</v>
      </c>
      <c r="N21" s="1">
        <v>700.04</v>
      </c>
      <c r="O21" s="1">
        <v>700.04</v>
      </c>
      <c r="P21" s="1"/>
      <c r="Q21" s="1"/>
      <c r="R21" s="1"/>
    </row>
    <row r="22" spans="1:18" x14ac:dyDescent="0.3">
      <c r="A22" s="1" t="s">
        <v>20</v>
      </c>
      <c r="B22" s="1">
        <v>49.87</v>
      </c>
      <c r="C22" s="1">
        <v>12.46</v>
      </c>
      <c r="D22" s="1">
        <v>12.46</v>
      </c>
      <c r="E22" s="10">
        <v>0</v>
      </c>
      <c r="F22" s="1">
        <v>25.3</v>
      </c>
      <c r="G22" s="1">
        <v>1130.1400000000001</v>
      </c>
      <c r="H22" s="1">
        <v>601.39</v>
      </c>
      <c r="I22" s="1">
        <v>528.75</v>
      </c>
      <c r="J22" s="1">
        <v>329.15</v>
      </c>
      <c r="K22" s="10">
        <v>0</v>
      </c>
      <c r="L22" s="1">
        <v>30.57</v>
      </c>
      <c r="M22" s="1">
        <v>11.22</v>
      </c>
      <c r="N22" s="1">
        <v>41.08</v>
      </c>
      <c r="O22" s="1">
        <v>1629.79</v>
      </c>
      <c r="P22" s="6">
        <f>(O22-O23)/O23</f>
        <v>0.18377797308192362</v>
      </c>
      <c r="Q22" s="6">
        <f>O22/$O$83</f>
        <v>8.3716264740006183E-3</v>
      </c>
      <c r="R22" s="1">
        <v>253.02</v>
      </c>
    </row>
    <row r="23" spans="1:18" x14ac:dyDescent="0.3">
      <c r="A23" s="1" t="s">
        <v>11</v>
      </c>
      <c r="B23" s="1">
        <v>42.6</v>
      </c>
      <c r="C23" s="1">
        <v>18.100000000000001</v>
      </c>
      <c r="D23" s="1">
        <v>18.100000000000001</v>
      </c>
      <c r="E23" s="10">
        <v>0</v>
      </c>
      <c r="F23" s="1">
        <v>23.02</v>
      </c>
      <c r="G23" s="1">
        <v>1013.14</v>
      </c>
      <c r="H23" s="1">
        <v>596.82000000000005</v>
      </c>
      <c r="I23" s="1">
        <v>416.32</v>
      </c>
      <c r="J23" s="1">
        <v>213.04</v>
      </c>
      <c r="K23" s="10">
        <v>0</v>
      </c>
      <c r="L23" s="1">
        <v>12.86</v>
      </c>
      <c r="M23" s="1">
        <v>15.23</v>
      </c>
      <c r="N23" s="1">
        <v>38.78</v>
      </c>
      <c r="O23" s="1">
        <v>1376.77</v>
      </c>
      <c r="P23" s="1"/>
      <c r="Q23" s="1"/>
      <c r="R23" s="1"/>
    </row>
    <row r="24" spans="1:18" x14ac:dyDescent="0.3">
      <c r="A24" s="1" t="s">
        <v>21</v>
      </c>
      <c r="B24" s="1">
        <v>172.28</v>
      </c>
      <c r="C24" s="1">
        <v>24.06</v>
      </c>
      <c r="D24" s="1">
        <v>24.06</v>
      </c>
      <c r="E24" s="10">
        <v>0</v>
      </c>
      <c r="F24" s="1">
        <v>22.6</v>
      </c>
      <c r="G24" s="1">
        <v>1120.1099999999999</v>
      </c>
      <c r="H24" s="1">
        <v>278.14999999999998</v>
      </c>
      <c r="I24" s="1">
        <v>841.96</v>
      </c>
      <c r="J24" s="1">
        <v>528.75</v>
      </c>
      <c r="K24" s="10">
        <v>0</v>
      </c>
      <c r="L24" s="1">
        <v>62.71</v>
      </c>
      <c r="M24" s="1">
        <v>28.5</v>
      </c>
      <c r="N24" s="1">
        <v>14.49</v>
      </c>
      <c r="O24" s="1">
        <v>1973.5</v>
      </c>
      <c r="P24" s="6">
        <f>(O24-O25)/O25</f>
        <v>9.938165004735118E-2</v>
      </c>
      <c r="Q24" s="6">
        <f>O24/$O$83</f>
        <v>1.013713720567694E-2</v>
      </c>
      <c r="R24" s="1">
        <v>178.4</v>
      </c>
    </row>
    <row r="25" spans="1:18" x14ac:dyDescent="0.3">
      <c r="A25" s="1" t="s">
        <v>11</v>
      </c>
      <c r="B25" s="1">
        <v>179.49</v>
      </c>
      <c r="C25" s="1">
        <v>26.85</v>
      </c>
      <c r="D25" s="1">
        <v>26.85</v>
      </c>
      <c r="E25" s="10">
        <v>0</v>
      </c>
      <c r="F25" s="1">
        <v>12.37</v>
      </c>
      <c r="G25" s="1">
        <v>1099.4000000000001</v>
      </c>
      <c r="H25" s="1">
        <v>301.77</v>
      </c>
      <c r="I25" s="1">
        <v>797.63</v>
      </c>
      <c r="J25" s="1">
        <v>400.06</v>
      </c>
      <c r="K25" s="10">
        <v>0</v>
      </c>
      <c r="L25" s="1">
        <v>57.67</v>
      </c>
      <c r="M25" s="1">
        <v>16.46</v>
      </c>
      <c r="N25" s="1">
        <v>2.8</v>
      </c>
      <c r="O25" s="1">
        <v>1795.1</v>
      </c>
      <c r="P25" s="1"/>
      <c r="Q25" s="1"/>
      <c r="R25" s="1"/>
    </row>
    <row r="26" spans="1:18" x14ac:dyDescent="0.3">
      <c r="A26" s="1" t="s">
        <v>22</v>
      </c>
      <c r="B26" s="1">
        <v>1038.19</v>
      </c>
      <c r="C26" s="1">
        <v>175.97</v>
      </c>
      <c r="D26" s="1">
        <v>76.05</v>
      </c>
      <c r="E26" s="1">
        <v>99.92</v>
      </c>
      <c r="F26" s="1">
        <v>288.37</v>
      </c>
      <c r="G26" s="1">
        <v>3022.45</v>
      </c>
      <c r="H26" s="1">
        <v>945.3</v>
      </c>
      <c r="I26" s="1">
        <v>2077.15</v>
      </c>
      <c r="J26" s="1">
        <v>5614.49</v>
      </c>
      <c r="K26" s="1">
        <v>29.14</v>
      </c>
      <c r="L26" s="1">
        <v>176.79</v>
      </c>
      <c r="M26" s="1">
        <v>466.15</v>
      </c>
      <c r="N26" s="1">
        <v>315.86</v>
      </c>
      <c r="O26" s="1">
        <v>11127.41</v>
      </c>
      <c r="P26" s="6">
        <f>(O26-O27)/O27</f>
        <v>7.4891906198923414E-2</v>
      </c>
      <c r="Q26" s="6">
        <f>O26/$O$83</f>
        <v>5.7157376191447493E-2</v>
      </c>
      <c r="R26" s="1">
        <v>775.29</v>
      </c>
    </row>
    <row r="27" spans="1:18" x14ac:dyDescent="0.3">
      <c r="A27" s="1" t="s">
        <v>11</v>
      </c>
      <c r="B27" s="1">
        <v>736.15</v>
      </c>
      <c r="C27" s="1">
        <v>191.62</v>
      </c>
      <c r="D27" s="1">
        <v>78.150000000000006</v>
      </c>
      <c r="E27" s="1">
        <v>113.47</v>
      </c>
      <c r="F27" s="1">
        <v>255.13</v>
      </c>
      <c r="G27" s="1">
        <v>2811.15</v>
      </c>
      <c r="H27" s="1">
        <v>894.7</v>
      </c>
      <c r="I27" s="1">
        <v>1916.45</v>
      </c>
      <c r="J27" s="1">
        <v>5279.02</v>
      </c>
      <c r="K27" s="1">
        <v>28.59</v>
      </c>
      <c r="L27" s="1">
        <v>236.23</v>
      </c>
      <c r="M27" s="1">
        <v>499.72</v>
      </c>
      <c r="N27" s="1">
        <v>314.51</v>
      </c>
      <c r="O27" s="1">
        <v>10352.120000000001</v>
      </c>
      <c r="P27" s="1"/>
      <c r="Q27" s="1"/>
      <c r="R27" s="1"/>
    </row>
    <row r="28" spans="1:18" x14ac:dyDescent="0.3">
      <c r="A28" s="1" t="s">
        <v>23</v>
      </c>
      <c r="B28" s="1">
        <v>-0.4</v>
      </c>
      <c r="C28" s="10">
        <v>0</v>
      </c>
      <c r="D28" s="10">
        <v>0</v>
      </c>
      <c r="E28" s="10">
        <v>0</v>
      </c>
      <c r="F28" s="10">
        <v>0</v>
      </c>
      <c r="G28" s="1">
        <v>0.79</v>
      </c>
      <c r="H28" s="1">
        <v>0.03</v>
      </c>
      <c r="I28" s="1">
        <v>0.76</v>
      </c>
      <c r="J28" s="1">
        <v>58.04</v>
      </c>
      <c r="K28" s="10">
        <v>0</v>
      </c>
      <c r="L28" s="10">
        <v>0</v>
      </c>
      <c r="M28" s="1">
        <v>2.7</v>
      </c>
      <c r="N28" s="10">
        <v>0</v>
      </c>
      <c r="O28" s="1">
        <v>61.13</v>
      </c>
      <c r="P28" s="6">
        <f>(O28-O29)/O29</f>
        <v>0.92111879321181656</v>
      </c>
      <c r="Q28" s="6">
        <f>O28/$O$83</f>
        <v>3.140021268725773E-4</v>
      </c>
      <c r="R28" s="1">
        <v>29.31</v>
      </c>
    </row>
    <row r="29" spans="1:18" x14ac:dyDescent="0.3">
      <c r="A29" s="1" t="s">
        <v>11</v>
      </c>
      <c r="B29" s="1">
        <v>-0.39</v>
      </c>
      <c r="C29" s="10">
        <v>0</v>
      </c>
      <c r="D29" s="10">
        <v>0</v>
      </c>
      <c r="E29" s="10">
        <v>0</v>
      </c>
      <c r="F29" s="10">
        <v>0</v>
      </c>
      <c r="G29" s="1">
        <v>2.12</v>
      </c>
      <c r="H29" s="1">
        <v>0.03</v>
      </c>
      <c r="I29" s="1">
        <v>2.08</v>
      </c>
      <c r="J29" s="1">
        <v>30.11</v>
      </c>
      <c r="K29" s="10">
        <v>0</v>
      </c>
      <c r="L29" s="10">
        <v>0</v>
      </c>
      <c r="M29" s="1">
        <v>-0.01</v>
      </c>
      <c r="N29" s="10">
        <v>0</v>
      </c>
      <c r="O29" s="1">
        <v>31.82</v>
      </c>
      <c r="P29" s="1"/>
      <c r="Q29" s="1"/>
      <c r="R29" s="1"/>
    </row>
    <row r="30" spans="1:18" x14ac:dyDescent="0.3">
      <c r="A30" s="1" t="s">
        <v>24</v>
      </c>
      <c r="B30" s="1">
        <v>10.96</v>
      </c>
      <c r="C30" s="1">
        <v>-0.09</v>
      </c>
      <c r="D30" s="1">
        <v>-0.09</v>
      </c>
      <c r="E30" s="10">
        <v>0</v>
      </c>
      <c r="F30" s="1">
        <v>0.67</v>
      </c>
      <c r="G30" s="1">
        <v>58.16</v>
      </c>
      <c r="H30" s="1">
        <v>19.62</v>
      </c>
      <c r="I30" s="1">
        <v>38.54</v>
      </c>
      <c r="J30" s="1">
        <v>3.68</v>
      </c>
      <c r="K30" s="10">
        <v>0</v>
      </c>
      <c r="L30" s="1">
        <v>44.57</v>
      </c>
      <c r="M30" s="1">
        <v>0.84</v>
      </c>
      <c r="N30" s="1">
        <v>0.13</v>
      </c>
      <c r="O30" s="1">
        <v>118.92</v>
      </c>
      <c r="P30" s="6">
        <f>(O30-O31)/O31</f>
        <v>-0.57593695396355593</v>
      </c>
      <c r="Q30" s="6">
        <f>O30/$O$83</f>
        <v>6.1084791309810068E-4</v>
      </c>
      <c r="R30" s="1">
        <v>-161.51</v>
      </c>
    </row>
    <row r="31" spans="1:18" x14ac:dyDescent="0.3">
      <c r="A31" s="1" t="s">
        <v>11</v>
      </c>
      <c r="B31" s="1">
        <v>9.64</v>
      </c>
      <c r="C31" s="1">
        <v>7.0000000000000007E-2</v>
      </c>
      <c r="D31" s="1">
        <v>7.0000000000000007E-2</v>
      </c>
      <c r="E31" s="10">
        <v>0</v>
      </c>
      <c r="F31" s="1">
        <v>0.79</v>
      </c>
      <c r="G31" s="1">
        <v>208.35</v>
      </c>
      <c r="H31" s="1">
        <v>64.83</v>
      </c>
      <c r="I31" s="1">
        <v>143.53</v>
      </c>
      <c r="J31" s="1">
        <v>25.14</v>
      </c>
      <c r="K31" s="10">
        <v>0</v>
      </c>
      <c r="L31" s="1">
        <v>35.99</v>
      </c>
      <c r="M31" s="1">
        <v>0.33</v>
      </c>
      <c r="N31" s="1">
        <v>0.11</v>
      </c>
      <c r="O31" s="1">
        <v>280.43</v>
      </c>
      <c r="P31" s="1"/>
      <c r="Q31" s="1"/>
      <c r="R31" s="1"/>
    </row>
    <row r="32" spans="1:18" x14ac:dyDescent="0.3">
      <c r="A32" s="1" t="s">
        <v>25</v>
      </c>
      <c r="B32" s="1">
        <v>981.53</v>
      </c>
      <c r="C32" s="1">
        <v>109.71</v>
      </c>
      <c r="D32" s="1">
        <v>96.68</v>
      </c>
      <c r="E32" s="1">
        <v>13.02</v>
      </c>
      <c r="F32" s="1">
        <v>285.77</v>
      </c>
      <c r="G32" s="1">
        <v>2713.76</v>
      </c>
      <c r="H32" s="1">
        <v>1332.21</v>
      </c>
      <c r="I32" s="1">
        <v>1381.55</v>
      </c>
      <c r="J32" s="1">
        <v>1766.93</v>
      </c>
      <c r="K32" s="1">
        <v>1.1299999999999999</v>
      </c>
      <c r="L32" s="1">
        <v>69.03</v>
      </c>
      <c r="M32" s="1">
        <v>265.04000000000002</v>
      </c>
      <c r="N32" s="1">
        <v>1781.26</v>
      </c>
      <c r="O32" s="1">
        <v>7974.15</v>
      </c>
      <c r="P32" s="6">
        <f>(O32-O33)/O33</f>
        <v>-3.1887383449883407E-2</v>
      </c>
      <c r="Q32" s="6">
        <f>O32/$O$83</f>
        <v>4.0960249631947686E-2</v>
      </c>
      <c r="R32" s="1">
        <v>-262.64999999999998</v>
      </c>
    </row>
    <row r="33" spans="1:18" x14ac:dyDescent="0.3">
      <c r="A33" s="1" t="s">
        <v>11</v>
      </c>
      <c r="B33" s="1">
        <v>867.81</v>
      </c>
      <c r="C33" s="1">
        <v>107.01</v>
      </c>
      <c r="D33" s="1">
        <v>92.57</v>
      </c>
      <c r="E33" s="1">
        <v>14.45</v>
      </c>
      <c r="F33" s="1">
        <v>268.94</v>
      </c>
      <c r="G33" s="1">
        <v>2512.15</v>
      </c>
      <c r="H33" s="1">
        <v>1120.6400000000001</v>
      </c>
      <c r="I33" s="1">
        <v>1391.51</v>
      </c>
      <c r="J33" s="1">
        <v>1415.05</v>
      </c>
      <c r="K33" s="1">
        <v>12.82</v>
      </c>
      <c r="L33" s="1">
        <v>64.06</v>
      </c>
      <c r="M33" s="1">
        <v>165.78</v>
      </c>
      <c r="N33" s="1">
        <v>2823.17</v>
      </c>
      <c r="O33" s="1">
        <v>8236.7999999999993</v>
      </c>
      <c r="P33" s="1"/>
      <c r="Q33" s="1"/>
      <c r="R33" s="1"/>
    </row>
    <row r="34" spans="1:18" x14ac:dyDescent="0.3">
      <c r="A34" s="1" t="s">
        <v>26</v>
      </c>
      <c r="B34" s="1">
        <v>259.31</v>
      </c>
      <c r="C34" s="1">
        <v>46</v>
      </c>
      <c r="D34" s="1">
        <v>45.95</v>
      </c>
      <c r="E34" s="1">
        <v>0.05</v>
      </c>
      <c r="F34" s="1">
        <v>47.85</v>
      </c>
      <c r="G34" s="1">
        <v>1513.53</v>
      </c>
      <c r="H34" s="1">
        <v>511.26</v>
      </c>
      <c r="I34" s="1">
        <v>1002.27</v>
      </c>
      <c r="J34" s="1">
        <v>594.99</v>
      </c>
      <c r="K34" s="10">
        <v>0</v>
      </c>
      <c r="L34" s="1">
        <v>16.940000000000001</v>
      </c>
      <c r="M34" s="1">
        <v>42.84</v>
      </c>
      <c r="N34" s="1">
        <v>13.33</v>
      </c>
      <c r="O34" s="1">
        <v>2534.79</v>
      </c>
      <c r="P34" s="6">
        <f>(O34-O35)/O35</f>
        <v>0.13165825107482962</v>
      </c>
      <c r="Q34" s="6">
        <f>O34/$O$83</f>
        <v>1.3020275661301164E-2</v>
      </c>
      <c r="R34" s="1">
        <v>294.89999999999998</v>
      </c>
    </row>
    <row r="35" spans="1:18" x14ac:dyDescent="0.3">
      <c r="A35" s="1" t="s">
        <v>11</v>
      </c>
      <c r="B35" s="1">
        <v>190.41</v>
      </c>
      <c r="C35" s="1">
        <v>37.200000000000003</v>
      </c>
      <c r="D35" s="1">
        <v>37.200000000000003</v>
      </c>
      <c r="E35" s="10">
        <v>0</v>
      </c>
      <c r="F35" s="1">
        <v>41.3</v>
      </c>
      <c r="G35" s="1">
        <v>1479.86</v>
      </c>
      <c r="H35" s="1">
        <v>478.29</v>
      </c>
      <c r="I35" s="1">
        <v>1001.57</v>
      </c>
      <c r="J35" s="1">
        <v>424.79</v>
      </c>
      <c r="K35" s="10">
        <v>0</v>
      </c>
      <c r="L35" s="1">
        <v>12.38</v>
      </c>
      <c r="M35" s="1">
        <v>44.78</v>
      </c>
      <c r="N35" s="1">
        <v>9.17</v>
      </c>
      <c r="O35" s="1">
        <v>2239.89</v>
      </c>
      <c r="P35" s="1"/>
      <c r="Q35" s="1"/>
      <c r="R35" s="1"/>
    </row>
    <row r="36" spans="1:18" x14ac:dyDescent="0.3">
      <c r="A36" s="1" t="s">
        <v>27</v>
      </c>
      <c r="B36" s="1">
        <v>1093.1300000000001</v>
      </c>
      <c r="C36" s="1">
        <v>63.22</v>
      </c>
      <c r="D36" s="1">
        <v>63.22</v>
      </c>
      <c r="E36" s="10">
        <v>0</v>
      </c>
      <c r="F36" s="1">
        <v>115.12</v>
      </c>
      <c r="G36" s="1">
        <v>2824.94</v>
      </c>
      <c r="H36" s="1">
        <v>1295.49</v>
      </c>
      <c r="I36" s="1">
        <v>1529.44</v>
      </c>
      <c r="J36" s="1">
        <v>1972.51</v>
      </c>
      <c r="K36" s="1">
        <v>0.21</v>
      </c>
      <c r="L36" s="1">
        <v>80.42</v>
      </c>
      <c r="M36" s="1">
        <v>983.56</v>
      </c>
      <c r="N36" s="1">
        <v>1243.67</v>
      </c>
      <c r="O36" s="1">
        <v>8376.77</v>
      </c>
      <c r="P36" s="6">
        <f>(O36-O37)/O37</f>
        <v>0.10967498360677455</v>
      </c>
      <c r="Q36" s="6">
        <f>O36/$O$83</f>
        <v>4.3028359174258131E-2</v>
      </c>
      <c r="R36" s="1">
        <v>827.92</v>
      </c>
    </row>
    <row r="37" spans="1:18" x14ac:dyDescent="0.3">
      <c r="A37" s="1" t="s">
        <v>11</v>
      </c>
      <c r="B37" s="1">
        <v>1017.78</v>
      </c>
      <c r="C37" s="1">
        <v>64.77</v>
      </c>
      <c r="D37" s="1">
        <v>64.77</v>
      </c>
      <c r="E37" s="10">
        <v>0</v>
      </c>
      <c r="F37" s="1">
        <v>94.89</v>
      </c>
      <c r="G37" s="1">
        <v>2412.4299999999998</v>
      </c>
      <c r="H37" s="1">
        <v>1087.29</v>
      </c>
      <c r="I37" s="1">
        <v>1325.14</v>
      </c>
      <c r="J37" s="1">
        <v>1448.87</v>
      </c>
      <c r="K37" s="1">
        <v>0.08</v>
      </c>
      <c r="L37" s="1">
        <v>58.6</v>
      </c>
      <c r="M37" s="1">
        <v>670.84</v>
      </c>
      <c r="N37" s="1">
        <v>1780.59</v>
      </c>
      <c r="O37" s="1">
        <v>7548.85</v>
      </c>
      <c r="P37" s="1"/>
      <c r="Q37" s="1"/>
      <c r="R37" s="1"/>
    </row>
    <row r="38" spans="1:18" x14ac:dyDescent="0.3">
      <c r="A38" s="1" t="s">
        <v>28</v>
      </c>
      <c r="B38" s="1">
        <v>70.36</v>
      </c>
      <c r="C38" s="1">
        <v>2.7</v>
      </c>
      <c r="D38" s="1">
        <v>2.7</v>
      </c>
      <c r="E38" s="10">
        <v>0</v>
      </c>
      <c r="F38" s="1">
        <v>15.65</v>
      </c>
      <c r="G38" s="1">
        <v>2268.14</v>
      </c>
      <c r="H38" s="1">
        <v>541.49</v>
      </c>
      <c r="I38" s="1">
        <v>1726.64</v>
      </c>
      <c r="J38" s="1">
        <v>6.66</v>
      </c>
      <c r="K38" s="10">
        <v>0</v>
      </c>
      <c r="L38" s="1">
        <v>6.29</v>
      </c>
      <c r="M38" s="1">
        <v>79.319999999999993</v>
      </c>
      <c r="N38" s="1">
        <v>30.22</v>
      </c>
      <c r="O38" s="1">
        <v>2479.33</v>
      </c>
      <c r="P38" s="6">
        <f>(O38-O39)/O39</f>
        <v>0.26619171645983353</v>
      </c>
      <c r="Q38" s="6">
        <f>O38/$O$83</f>
        <v>1.273539822049709E-2</v>
      </c>
      <c r="R38" s="1">
        <v>521.23</v>
      </c>
    </row>
    <row r="39" spans="1:18" x14ac:dyDescent="0.3">
      <c r="A39" s="1" t="s">
        <v>11</v>
      </c>
      <c r="B39" s="1">
        <v>60.78</v>
      </c>
      <c r="C39" s="1">
        <v>3.37</v>
      </c>
      <c r="D39" s="1">
        <v>3.37</v>
      </c>
      <c r="E39" s="10">
        <v>0</v>
      </c>
      <c r="F39" s="1">
        <v>13.99</v>
      </c>
      <c r="G39" s="1">
        <v>1791.46</v>
      </c>
      <c r="H39" s="1">
        <v>411.3</v>
      </c>
      <c r="I39" s="1">
        <v>1380.16</v>
      </c>
      <c r="J39" s="1">
        <v>1.69</v>
      </c>
      <c r="K39" s="10">
        <v>0</v>
      </c>
      <c r="L39" s="1">
        <v>5.48</v>
      </c>
      <c r="M39" s="1">
        <v>68.75</v>
      </c>
      <c r="N39" s="1">
        <v>12.58</v>
      </c>
      <c r="O39" s="1">
        <v>1958.1</v>
      </c>
      <c r="P39" s="1"/>
      <c r="Q39" s="1"/>
      <c r="R39" s="1"/>
    </row>
    <row r="40" spans="1:18" x14ac:dyDescent="0.3">
      <c r="A40" s="1" t="s">
        <v>29</v>
      </c>
      <c r="B40" s="1">
        <v>1509.52</v>
      </c>
      <c r="C40" s="1">
        <v>481.77</v>
      </c>
      <c r="D40" s="1">
        <v>462.26</v>
      </c>
      <c r="E40" s="1">
        <v>19.510000000000002</v>
      </c>
      <c r="F40" s="1">
        <v>238.57</v>
      </c>
      <c r="G40" s="1">
        <v>5323.65</v>
      </c>
      <c r="H40" s="1">
        <v>2511.84</v>
      </c>
      <c r="I40" s="1">
        <v>2811.81</v>
      </c>
      <c r="J40" s="1">
        <v>2363.8200000000002</v>
      </c>
      <c r="K40" s="1">
        <v>110.3</v>
      </c>
      <c r="L40" s="1">
        <v>549.91</v>
      </c>
      <c r="M40" s="1">
        <v>134.81</v>
      </c>
      <c r="N40" s="1">
        <v>963.13</v>
      </c>
      <c r="O40" s="1">
        <v>11675.48</v>
      </c>
      <c r="P40" s="6">
        <f>(O40-O41)/O41</f>
        <v>0.11733710516796217</v>
      </c>
      <c r="Q40" s="6">
        <f>O40/$O$83</f>
        <v>5.997260841253458E-2</v>
      </c>
      <c r="R40" s="1">
        <v>1226.0999999999999</v>
      </c>
    </row>
    <row r="41" spans="1:18" x14ac:dyDescent="0.3">
      <c r="A41" s="1" t="s">
        <v>11</v>
      </c>
      <c r="B41" s="1">
        <v>1395.76</v>
      </c>
      <c r="C41" s="1">
        <v>427.92</v>
      </c>
      <c r="D41" s="1">
        <v>419.76</v>
      </c>
      <c r="E41" s="1">
        <v>8.16</v>
      </c>
      <c r="F41" s="1">
        <v>197.38</v>
      </c>
      <c r="G41" s="1">
        <v>4912.3999999999996</v>
      </c>
      <c r="H41" s="1">
        <v>2221.25</v>
      </c>
      <c r="I41" s="1">
        <v>2691.15</v>
      </c>
      <c r="J41" s="1">
        <v>2047.7</v>
      </c>
      <c r="K41" s="1">
        <v>112.9</v>
      </c>
      <c r="L41" s="1">
        <v>512.54999999999995</v>
      </c>
      <c r="M41" s="1">
        <v>136.80000000000001</v>
      </c>
      <c r="N41" s="1">
        <v>705.97</v>
      </c>
      <c r="O41" s="1">
        <v>10449.379999999999</v>
      </c>
      <c r="P41" s="1"/>
      <c r="Q41" s="1"/>
      <c r="R41" s="1"/>
    </row>
    <row r="42" spans="1:18" x14ac:dyDescent="0.3">
      <c r="A42" s="1" t="s">
        <v>30</v>
      </c>
      <c r="B42" s="1">
        <v>3158.4</v>
      </c>
      <c r="C42" s="1">
        <v>615.33000000000004</v>
      </c>
      <c r="D42" s="1">
        <v>305.83</v>
      </c>
      <c r="E42" s="1">
        <v>309.5</v>
      </c>
      <c r="F42" s="1">
        <v>683.39</v>
      </c>
      <c r="G42" s="1">
        <v>5599.36</v>
      </c>
      <c r="H42" s="1">
        <v>2090.86</v>
      </c>
      <c r="I42" s="1">
        <v>3508.49</v>
      </c>
      <c r="J42" s="1">
        <v>13413.36</v>
      </c>
      <c r="K42" s="1">
        <v>239.5</v>
      </c>
      <c r="L42" s="1">
        <v>357.56</v>
      </c>
      <c r="M42" s="1">
        <v>396.21</v>
      </c>
      <c r="N42" s="1">
        <v>1190.23</v>
      </c>
      <c r="O42" s="1">
        <v>25653.33</v>
      </c>
      <c r="P42" s="6">
        <f>(O42-O43)/O43</f>
        <v>0.13512971764382087</v>
      </c>
      <c r="Q42" s="6">
        <f>O42/$O$83</f>
        <v>0.13177163718900858</v>
      </c>
      <c r="R42" s="1">
        <v>3053.86</v>
      </c>
    </row>
    <row r="43" spans="1:18" x14ac:dyDescent="0.3">
      <c r="A43" s="1" t="s">
        <v>11</v>
      </c>
      <c r="B43" s="1">
        <v>2251.3000000000002</v>
      </c>
      <c r="C43" s="1">
        <v>599.5</v>
      </c>
      <c r="D43" s="1">
        <v>255.34</v>
      </c>
      <c r="E43" s="1">
        <v>344.16</v>
      </c>
      <c r="F43" s="1">
        <v>588.13</v>
      </c>
      <c r="G43" s="1">
        <v>5628.4</v>
      </c>
      <c r="H43" s="1">
        <v>2067.35</v>
      </c>
      <c r="I43" s="1">
        <v>3561.05</v>
      </c>
      <c r="J43" s="1">
        <v>11647.1</v>
      </c>
      <c r="K43" s="1">
        <v>211.32</v>
      </c>
      <c r="L43" s="1">
        <v>339.88</v>
      </c>
      <c r="M43" s="1">
        <v>378.07</v>
      </c>
      <c r="N43" s="1">
        <v>955.77</v>
      </c>
      <c r="O43" s="1">
        <v>22599.47</v>
      </c>
      <c r="P43" s="1"/>
      <c r="Q43" s="1"/>
      <c r="R43" s="1"/>
    </row>
    <row r="44" spans="1:18" x14ac:dyDescent="0.3">
      <c r="A44" s="1" t="s">
        <v>31</v>
      </c>
      <c r="B44" s="1">
        <v>1294.78</v>
      </c>
      <c r="C44" s="1">
        <v>340.71</v>
      </c>
      <c r="D44" s="1">
        <v>137.38</v>
      </c>
      <c r="E44" s="1">
        <v>203.33</v>
      </c>
      <c r="F44" s="1">
        <v>267.89</v>
      </c>
      <c r="G44" s="1">
        <v>2410.0100000000002</v>
      </c>
      <c r="H44" s="1">
        <v>767.53</v>
      </c>
      <c r="I44" s="1">
        <v>1642.48</v>
      </c>
      <c r="J44" s="1">
        <v>5182.63</v>
      </c>
      <c r="K44" s="1">
        <v>103.64</v>
      </c>
      <c r="L44" s="1">
        <v>88.01</v>
      </c>
      <c r="M44" s="1">
        <v>2813.74</v>
      </c>
      <c r="N44" s="1">
        <v>281.26</v>
      </c>
      <c r="O44" s="1">
        <v>12782.67</v>
      </c>
      <c r="P44" s="6">
        <f>(O44-O45)/O45</f>
        <v>0.10788435687225852</v>
      </c>
      <c r="Q44" s="6">
        <f>O44/$O$83</f>
        <v>6.5659832604454238E-2</v>
      </c>
      <c r="R44" s="1">
        <v>1244.76</v>
      </c>
    </row>
    <row r="45" spans="1:18" x14ac:dyDescent="0.3">
      <c r="A45" s="1" t="s">
        <v>11</v>
      </c>
      <c r="B45" s="1">
        <v>1046.1300000000001</v>
      </c>
      <c r="C45" s="1">
        <v>294.39999999999998</v>
      </c>
      <c r="D45" s="1">
        <v>132.05000000000001</v>
      </c>
      <c r="E45" s="1">
        <v>162.34</v>
      </c>
      <c r="F45" s="1">
        <v>260.20999999999998</v>
      </c>
      <c r="G45" s="1">
        <v>2319.17</v>
      </c>
      <c r="H45" s="1">
        <v>710.48</v>
      </c>
      <c r="I45" s="1">
        <v>1608.69</v>
      </c>
      <c r="J45" s="1">
        <v>4937.3599999999997</v>
      </c>
      <c r="K45" s="1">
        <v>100.46</v>
      </c>
      <c r="L45" s="1">
        <v>86.01</v>
      </c>
      <c r="M45" s="1">
        <v>1270.98</v>
      </c>
      <c r="N45" s="1">
        <v>1223.2</v>
      </c>
      <c r="O45" s="1">
        <v>11537.91</v>
      </c>
      <c r="P45" s="1"/>
      <c r="Q45" s="1"/>
      <c r="R45" s="1"/>
    </row>
    <row r="46" spans="1:18" x14ac:dyDescent="0.3">
      <c r="A46" s="1" t="s">
        <v>32</v>
      </c>
      <c r="B46" s="1">
        <v>1390.1</v>
      </c>
      <c r="C46" s="1">
        <v>256.64999999999998</v>
      </c>
      <c r="D46" s="1">
        <v>119.04</v>
      </c>
      <c r="E46" s="1">
        <v>137.61000000000001</v>
      </c>
      <c r="F46" s="1">
        <v>301.33999999999997</v>
      </c>
      <c r="G46" s="1">
        <v>5376.49</v>
      </c>
      <c r="H46" s="1">
        <v>1162.3499999999999</v>
      </c>
      <c r="I46" s="1">
        <v>4214.1400000000003</v>
      </c>
      <c r="J46" s="1">
        <v>4174.4799999999996</v>
      </c>
      <c r="K46" s="1">
        <v>17.72</v>
      </c>
      <c r="L46" s="1">
        <v>178.42</v>
      </c>
      <c r="M46" s="1">
        <v>478.34</v>
      </c>
      <c r="N46" s="1">
        <v>351.82</v>
      </c>
      <c r="O46" s="1">
        <v>12525.36</v>
      </c>
      <c r="P46" s="6">
        <f>(O46-O47)/O47</f>
        <v>8.0452353636340096E-2</v>
      </c>
      <c r="Q46" s="6">
        <f>O46/$O$83</f>
        <v>6.4338126612869376E-2</v>
      </c>
      <c r="R46" s="1">
        <v>932.66</v>
      </c>
    </row>
    <row r="47" spans="1:18" x14ac:dyDescent="0.3">
      <c r="A47" s="1" t="s">
        <v>11</v>
      </c>
      <c r="B47" s="1">
        <v>1095.22</v>
      </c>
      <c r="C47" s="1">
        <v>249.04</v>
      </c>
      <c r="D47" s="1">
        <v>109.89</v>
      </c>
      <c r="E47" s="1">
        <v>139.15</v>
      </c>
      <c r="F47" s="1">
        <v>337.94</v>
      </c>
      <c r="G47" s="1">
        <v>4280.87</v>
      </c>
      <c r="H47" s="1">
        <v>1217.17</v>
      </c>
      <c r="I47" s="1">
        <v>3063.7</v>
      </c>
      <c r="J47" s="1">
        <v>4165.68</v>
      </c>
      <c r="K47" s="1">
        <v>21.23</v>
      </c>
      <c r="L47" s="1">
        <v>177.97</v>
      </c>
      <c r="M47" s="1">
        <v>318.70999999999998</v>
      </c>
      <c r="N47" s="1">
        <v>946.04</v>
      </c>
      <c r="O47" s="1">
        <v>11592.7</v>
      </c>
      <c r="P47" s="1"/>
      <c r="Q47" s="1"/>
      <c r="R47" s="1"/>
    </row>
    <row r="48" spans="1:18" x14ac:dyDescent="0.3">
      <c r="A48" s="1" t="s">
        <v>33</v>
      </c>
      <c r="B48" s="1">
        <v>211.51</v>
      </c>
      <c r="C48" s="1">
        <v>41.46</v>
      </c>
      <c r="D48" s="1">
        <v>25.54</v>
      </c>
      <c r="E48" s="1">
        <v>15.93</v>
      </c>
      <c r="F48" s="1">
        <v>9.34</v>
      </c>
      <c r="G48" s="1">
        <v>1833.83</v>
      </c>
      <c r="H48" s="1">
        <v>816.86</v>
      </c>
      <c r="I48" s="1">
        <v>1016.97</v>
      </c>
      <c r="J48" s="1">
        <v>893.05</v>
      </c>
      <c r="K48" s="10">
        <v>0</v>
      </c>
      <c r="L48" s="1">
        <v>16.11</v>
      </c>
      <c r="M48" s="1">
        <v>94.44</v>
      </c>
      <c r="N48" s="1">
        <v>293.08</v>
      </c>
      <c r="O48" s="1">
        <v>3392.83</v>
      </c>
      <c r="P48" s="6">
        <f>(O48-O49)/O49</f>
        <v>6.0103672273134928E-2</v>
      </c>
      <c r="Q48" s="6">
        <f>O48/$O$83</f>
        <v>1.7427708753755707E-2</v>
      </c>
      <c r="R48" s="1">
        <v>192.36</v>
      </c>
    </row>
    <row r="49" spans="1:18" x14ac:dyDescent="0.3">
      <c r="A49" s="1" t="s">
        <v>11</v>
      </c>
      <c r="B49" s="1">
        <v>182.64</v>
      </c>
      <c r="C49" s="1">
        <v>58.07</v>
      </c>
      <c r="D49" s="1">
        <v>41.27</v>
      </c>
      <c r="E49" s="1">
        <v>16.8</v>
      </c>
      <c r="F49" s="1">
        <v>10.91</v>
      </c>
      <c r="G49" s="1">
        <v>1332.18</v>
      </c>
      <c r="H49" s="1">
        <v>580.46</v>
      </c>
      <c r="I49" s="1">
        <v>751.71</v>
      </c>
      <c r="J49" s="1">
        <v>580.29</v>
      </c>
      <c r="K49" s="10">
        <v>0</v>
      </c>
      <c r="L49" s="1">
        <v>13.48</v>
      </c>
      <c r="M49" s="1">
        <v>76.17</v>
      </c>
      <c r="N49" s="1">
        <v>946.74</v>
      </c>
      <c r="O49" s="1">
        <v>3200.47</v>
      </c>
      <c r="P49" s="1"/>
      <c r="Q49" s="1"/>
      <c r="R49" s="1"/>
    </row>
    <row r="50" spans="1:18" x14ac:dyDescent="0.3">
      <c r="A50" s="1" t="s">
        <v>34</v>
      </c>
      <c r="B50" s="1">
        <v>40.32</v>
      </c>
      <c r="C50" s="1">
        <v>1.07</v>
      </c>
      <c r="D50" s="1">
        <v>1.07</v>
      </c>
      <c r="E50" s="10">
        <v>0</v>
      </c>
      <c r="F50" s="1">
        <v>2.5299999999999998</v>
      </c>
      <c r="G50" s="1">
        <v>320.2</v>
      </c>
      <c r="H50" s="1">
        <v>153.99</v>
      </c>
      <c r="I50" s="1">
        <v>166.21</v>
      </c>
      <c r="J50" s="1">
        <v>220.27</v>
      </c>
      <c r="K50" s="10">
        <v>0</v>
      </c>
      <c r="L50" s="1">
        <v>0.03</v>
      </c>
      <c r="M50" s="1">
        <v>13.21</v>
      </c>
      <c r="N50" s="1">
        <v>20.440000000000001</v>
      </c>
      <c r="O50" s="1">
        <v>618.07000000000005</v>
      </c>
      <c r="P50" s="6">
        <f>(O50-O51)/O51</f>
        <v>9.5907656299868846E-2</v>
      </c>
      <c r="Q50" s="6">
        <f>O50/$O$83</f>
        <v>3.1747962466241431E-3</v>
      </c>
      <c r="R50" s="1">
        <v>54.09</v>
      </c>
    </row>
    <row r="51" spans="1:18" x14ac:dyDescent="0.3">
      <c r="A51" s="1" t="s">
        <v>11</v>
      </c>
      <c r="B51" s="1">
        <v>32.79</v>
      </c>
      <c r="C51" s="1">
        <v>0.78</v>
      </c>
      <c r="D51" s="1">
        <v>0.78</v>
      </c>
      <c r="E51" s="10">
        <v>0</v>
      </c>
      <c r="F51" s="1">
        <v>2.14</v>
      </c>
      <c r="G51" s="1">
        <v>298.8</v>
      </c>
      <c r="H51" s="1">
        <v>158.61000000000001</v>
      </c>
      <c r="I51" s="1">
        <v>140.19</v>
      </c>
      <c r="J51" s="1">
        <v>211.49</v>
      </c>
      <c r="K51" s="10">
        <v>0</v>
      </c>
      <c r="L51" s="1">
        <v>0.06</v>
      </c>
      <c r="M51" s="1">
        <v>16.579999999999998</v>
      </c>
      <c r="N51" s="1">
        <v>1.34</v>
      </c>
      <c r="O51" s="1">
        <v>563.98</v>
      </c>
      <c r="P51" s="1"/>
      <c r="Q51" s="1"/>
      <c r="R51" s="1"/>
    </row>
    <row r="52" spans="1:18" x14ac:dyDescent="0.3">
      <c r="A52" s="1" t="s">
        <v>35</v>
      </c>
      <c r="B52" s="1">
        <v>104.97</v>
      </c>
      <c r="C52" s="1">
        <v>16.16</v>
      </c>
      <c r="D52" s="1">
        <v>16.16</v>
      </c>
      <c r="E52" s="10">
        <v>0</v>
      </c>
      <c r="F52" s="1">
        <v>15.93</v>
      </c>
      <c r="G52" s="1">
        <v>529.04</v>
      </c>
      <c r="H52" s="1">
        <v>283.64</v>
      </c>
      <c r="I52" s="1">
        <v>245.41</v>
      </c>
      <c r="J52" s="1">
        <v>461.38</v>
      </c>
      <c r="K52" s="10">
        <v>0</v>
      </c>
      <c r="L52" s="1">
        <v>14.49</v>
      </c>
      <c r="M52" s="1">
        <v>34.630000000000003</v>
      </c>
      <c r="N52" s="1">
        <v>38.78</v>
      </c>
      <c r="O52" s="1">
        <v>1215.3900000000001</v>
      </c>
      <c r="P52" s="6">
        <f>(O52-O53)/O53</f>
        <v>0.10915512237857976</v>
      </c>
      <c r="Q52" s="6">
        <f>O52/$O$83</f>
        <v>6.2430074428212294E-3</v>
      </c>
      <c r="R52" s="1">
        <v>119.61</v>
      </c>
    </row>
    <row r="53" spans="1:18" x14ac:dyDescent="0.3">
      <c r="A53" s="1" t="s">
        <v>11</v>
      </c>
      <c r="B53" s="1">
        <v>52.75</v>
      </c>
      <c r="C53" s="1">
        <v>8.3800000000000008</v>
      </c>
      <c r="D53" s="1">
        <v>8.3800000000000008</v>
      </c>
      <c r="E53" s="10">
        <v>0</v>
      </c>
      <c r="F53" s="1">
        <v>6.63</v>
      </c>
      <c r="G53" s="1">
        <v>530.29</v>
      </c>
      <c r="H53" s="1">
        <v>308.45999999999998</v>
      </c>
      <c r="I53" s="1">
        <v>221.82</v>
      </c>
      <c r="J53" s="1">
        <v>426.02</v>
      </c>
      <c r="K53" s="10">
        <v>0</v>
      </c>
      <c r="L53" s="1">
        <v>1.26</v>
      </c>
      <c r="M53" s="1">
        <v>43.48</v>
      </c>
      <c r="N53" s="1">
        <v>26.98</v>
      </c>
      <c r="O53" s="1">
        <v>1095.78</v>
      </c>
      <c r="P53" s="1"/>
      <c r="Q53" s="1"/>
      <c r="R53" s="1"/>
    </row>
    <row r="54" spans="1:18" x14ac:dyDescent="0.3">
      <c r="A54" s="2" t="s">
        <v>36</v>
      </c>
      <c r="B54" s="16">
        <f t="shared" ref="B54:O55" si="0">SUM(B4+B6+B8+B10+B12+B14+B16+B18+B20+B22+B24+B26+B28+B30+B32+B34+B36+B38+B40+B42+B44+B46+B48+B50+B52)</f>
        <v>19237.03</v>
      </c>
      <c r="C54" s="16">
        <f t="shared" si="0"/>
        <v>3565.6400000000003</v>
      </c>
      <c r="D54" s="16">
        <f t="shared" si="0"/>
        <v>2648.59</v>
      </c>
      <c r="E54" s="16">
        <f t="shared" si="0"/>
        <v>917.05000000000007</v>
      </c>
      <c r="F54" s="16">
        <f t="shared" si="0"/>
        <v>3963.9</v>
      </c>
      <c r="G54" s="16">
        <f t="shared" si="0"/>
        <v>58992.83</v>
      </c>
      <c r="H54" s="16">
        <f t="shared" si="0"/>
        <v>24248.710000000003</v>
      </c>
      <c r="I54" s="16">
        <f t="shared" si="0"/>
        <v>34744.090000000004</v>
      </c>
      <c r="J54" s="16">
        <f t="shared" si="0"/>
        <v>53713.31</v>
      </c>
      <c r="K54" s="16">
        <f t="shared" si="0"/>
        <v>617.21</v>
      </c>
      <c r="L54" s="16">
        <f t="shared" si="0"/>
        <v>3812.9800000000005</v>
      </c>
      <c r="M54" s="16">
        <f t="shared" si="0"/>
        <v>7038.45</v>
      </c>
      <c r="N54" s="16">
        <f t="shared" si="0"/>
        <v>12628.369999999999</v>
      </c>
      <c r="O54" s="16">
        <f t="shared" si="0"/>
        <v>163569.69000000003</v>
      </c>
      <c r="P54" s="7">
        <f>(O54-O55)/O55</f>
        <v>4.6657985986133521E-2</v>
      </c>
      <c r="Q54" s="7">
        <f>O54/$O$83</f>
        <v>0.84019680274641173</v>
      </c>
      <c r="R54" s="16">
        <f t="shared" ref="R54" si="1">SUM(R4+R6+R8+R10+R12+R14+R16+R18+R20+R22+R24+R26+R28+R30+R32+R34+R36+R38+R40+R42+R44+R46+R48+R50+R52)</f>
        <v>7291.619999999999</v>
      </c>
    </row>
    <row r="55" spans="1:18" x14ac:dyDescent="0.3">
      <c r="A55" s="1" t="s">
        <v>37</v>
      </c>
      <c r="B55" s="17">
        <f t="shared" si="0"/>
        <v>16090.01</v>
      </c>
      <c r="C55" s="17">
        <f t="shared" si="0"/>
        <v>3413.8199999999997</v>
      </c>
      <c r="D55" s="17">
        <f t="shared" si="0"/>
        <v>2492.9900000000002</v>
      </c>
      <c r="E55" s="17">
        <f t="shared" si="0"/>
        <v>920.83999999999992</v>
      </c>
      <c r="F55" s="17">
        <f t="shared" si="0"/>
        <v>3504.14</v>
      </c>
      <c r="G55" s="17">
        <f t="shared" si="0"/>
        <v>54418.65</v>
      </c>
      <c r="H55" s="17">
        <f t="shared" si="0"/>
        <v>22770.03</v>
      </c>
      <c r="I55" s="17">
        <f t="shared" si="0"/>
        <v>31648.6</v>
      </c>
      <c r="J55" s="17">
        <f t="shared" si="0"/>
        <v>51113.939999999995</v>
      </c>
      <c r="K55" s="17">
        <f t="shared" si="0"/>
        <v>627.72</v>
      </c>
      <c r="L55" s="17">
        <f t="shared" si="0"/>
        <v>3591.5400000000004</v>
      </c>
      <c r="M55" s="17">
        <f t="shared" si="0"/>
        <v>5204.3300000000008</v>
      </c>
      <c r="N55" s="17">
        <f t="shared" si="0"/>
        <v>18313.930000000004</v>
      </c>
      <c r="O55" s="17">
        <f t="shared" si="0"/>
        <v>156278.07000000004</v>
      </c>
      <c r="P55" s="1"/>
      <c r="Q55" s="1"/>
      <c r="R55" s="1"/>
    </row>
    <row r="56" spans="1:18" x14ac:dyDescent="0.3">
      <c r="A56" s="1" t="s">
        <v>38</v>
      </c>
      <c r="B56" s="14">
        <f t="shared" ref="B56:O56" si="2">(B54-B55)/B55</f>
        <v>0.19558844276666071</v>
      </c>
      <c r="C56" s="14">
        <f t="shared" si="2"/>
        <v>4.4472174865693159E-2</v>
      </c>
      <c r="D56" s="14">
        <f t="shared" si="2"/>
        <v>6.2415011692786529E-2</v>
      </c>
      <c r="E56" s="14">
        <f t="shared" si="2"/>
        <v>-4.1158073063722799E-3</v>
      </c>
      <c r="F56" s="14">
        <f t="shared" si="2"/>
        <v>0.13120480346104899</v>
      </c>
      <c r="G56" s="14">
        <f t="shared" si="2"/>
        <v>8.4055374398299118E-2</v>
      </c>
      <c r="H56" s="14">
        <f t="shared" si="2"/>
        <v>6.4939747554131635E-2</v>
      </c>
      <c r="I56" s="14">
        <f t="shared" si="2"/>
        <v>9.7808117894630578E-2</v>
      </c>
      <c r="J56" s="14">
        <f t="shared" si="2"/>
        <v>5.0854424448594705E-2</v>
      </c>
      <c r="K56" s="14">
        <f t="shared" si="2"/>
        <v>-1.6743133881348356E-2</v>
      </c>
      <c r="L56" s="14">
        <f t="shared" si="2"/>
        <v>6.1656002717497237E-2</v>
      </c>
      <c r="M56" s="14">
        <f t="shared" si="2"/>
        <v>0.35242192558888441</v>
      </c>
      <c r="N56" s="14">
        <f t="shared" si="2"/>
        <v>-0.31045002356130025</v>
      </c>
      <c r="O56" s="14">
        <f t="shared" si="2"/>
        <v>4.6657985986133521E-2</v>
      </c>
      <c r="P56" s="1"/>
      <c r="Q56" s="1"/>
      <c r="R56" s="1"/>
    </row>
    <row r="57" spans="1:18" x14ac:dyDescent="0.3">
      <c r="A57" s="2" t="s">
        <v>39</v>
      </c>
      <c r="B57" s="1"/>
      <c r="C57" s="1"/>
      <c r="D57" s="1"/>
      <c r="E57" s="1"/>
      <c r="F57" s="1"/>
      <c r="G57" s="1"/>
      <c r="H57" s="1"/>
      <c r="I57" s="1"/>
      <c r="J57" s="1"/>
      <c r="K57" s="1"/>
      <c r="L57" s="1"/>
      <c r="M57" s="1"/>
      <c r="N57" s="1"/>
      <c r="O57" s="1"/>
      <c r="P57" s="1"/>
      <c r="Q57" s="1"/>
      <c r="R57" s="1"/>
    </row>
    <row r="58" spans="1:18" x14ac:dyDescent="0.3">
      <c r="A58" s="1" t="s">
        <v>40</v>
      </c>
      <c r="B58" s="10">
        <v>0</v>
      </c>
      <c r="C58" s="10">
        <v>0</v>
      </c>
      <c r="D58" s="10">
        <v>0</v>
      </c>
      <c r="E58" s="10">
        <v>0</v>
      </c>
      <c r="F58" s="10">
        <v>0</v>
      </c>
      <c r="G58" s="10">
        <v>0</v>
      </c>
      <c r="H58" s="10">
        <v>0</v>
      </c>
      <c r="I58" s="10">
        <v>0</v>
      </c>
      <c r="J58" s="1">
        <v>4107.51</v>
      </c>
      <c r="K58" s="10">
        <v>0</v>
      </c>
      <c r="L58" s="10">
        <v>0</v>
      </c>
      <c r="M58" s="1">
        <v>55.23</v>
      </c>
      <c r="N58" s="10">
        <v>0</v>
      </c>
      <c r="O58" s="1">
        <v>4162.74</v>
      </c>
      <c r="P58" s="6">
        <f>(O58-O59)/O59</f>
        <v>0.13909107825001907</v>
      </c>
      <c r="Q58" s="6">
        <f>O58/$O$83</f>
        <v>2.1382450738059094E-2</v>
      </c>
      <c r="R58" s="1">
        <v>508.3</v>
      </c>
    </row>
    <row r="59" spans="1:18" x14ac:dyDescent="0.3">
      <c r="A59" s="1" t="s">
        <v>11</v>
      </c>
      <c r="B59" s="10">
        <v>0</v>
      </c>
      <c r="C59" s="10">
        <v>0</v>
      </c>
      <c r="D59" s="10">
        <v>0</v>
      </c>
      <c r="E59" s="10">
        <v>0</v>
      </c>
      <c r="F59" s="10">
        <v>0</v>
      </c>
      <c r="G59" s="10">
        <v>0</v>
      </c>
      <c r="H59" s="10">
        <v>0</v>
      </c>
      <c r="I59" s="10">
        <v>0</v>
      </c>
      <c r="J59" s="1">
        <v>3582.92</v>
      </c>
      <c r="K59" s="10">
        <v>0</v>
      </c>
      <c r="L59" s="10">
        <v>0</v>
      </c>
      <c r="M59" s="1">
        <v>71.52</v>
      </c>
      <c r="N59" s="10">
        <v>0</v>
      </c>
      <c r="O59" s="1">
        <v>3654.44</v>
      </c>
      <c r="P59" s="1"/>
      <c r="Q59" s="1"/>
      <c r="R59" s="1"/>
    </row>
    <row r="60" spans="1:18" x14ac:dyDescent="0.3">
      <c r="A60" s="1" t="s">
        <v>41</v>
      </c>
      <c r="B60" s="10">
        <v>0</v>
      </c>
      <c r="C60" s="10">
        <v>0</v>
      </c>
      <c r="D60" s="10">
        <v>0</v>
      </c>
      <c r="E60" s="10">
        <v>0</v>
      </c>
      <c r="F60" s="10">
        <v>0</v>
      </c>
      <c r="G60" s="10">
        <v>0</v>
      </c>
      <c r="H60" s="10">
        <v>0</v>
      </c>
      <c r="I60" s="10">
        <v>0</v>
      </c>
      <c r="J60" s="1">
        <v>3090.94</v>
      </c>
      <c r="K60" s="10">
        <v>0</v>
      </c>
      <c r="L60" s="10">
        <v>0</v>
      </c>
      <c r="M60" s="1">
        <v>165.83</v>
      </c>
      <c r="N60" s="10">
        <v>0</v>
      </c>
      <c r="O60" s="1">
        <v>3256.77</v>
      </c>
      <c r="P60" s="6">
        <f>(O60-O61)/O61</f>
        <v>0.29291802471684414</v>
      </c>
      <c r="Q60" s="6">
        <f>O60/$O$83</f>
        <v>1.6728819020690389E-2</v>
      </c>
      <c r="R60" s="1">
        <v>737.84</v>
      </c>
    </row>
    <row r="61" spans="1:18" x14ac:dyDescent="0.3">
      <c r="A61" s="1" t="s">
        <v>11</v>
      </c>
      <c r="B61" s="10">
        <v>0</v>
      </c>
      <c r="C61" s="10">
        <v>0</v>
      </c>
      <c r="D61" s="10">
        <v>0</v>
      </c>
      <c r="E61" s="10">
        <v>0</v>
      </c>
      <c r="F61" s="10">
        <v>0</v>
      </c>
      <c r="G61" s="10">
        <v>0</v>
      </c>
      <c r="H61" s="10">
        <v>0</v>
      </c>
      <c r="I61" s="10">
        <v>0</v>
      </c>
      <c r="J61" s="1">
        <v>2328.2600000000002</v>
      </c>
      <c r="K61" s="10">
        <v>0</v>
      </c>
      <c r="L61" s="10">
        <v>0</v>
      </c>
      <c r="M61" s="1">
        <v>190.67</v>
      </c>
      <c r="N61" s="10">
        <v>0</v>
      </c>
      <c r="O61" s="1">
        <v>2518.9299999999998</v>
      </c>
      <c r="P61" s="1"/>
      <c r="Q61" s="1"/>
      <c r="R61" s="1"/>
    </row>
    <row r="62" spans="1:18" x14ac:dyDescent="0.3">
      <c r="A62" s="1" t="s">
        <v>42</v>
      </c>
      <c r="B62" s="10">
        <v>0</v>
      </c>
      <c r="C62" s="10">
        <v>0</v>
      </c>
      <c r="D62" s="10">
        <v>0</v>
      </c>
      <c r="E62" s="10">
        <v>0</v>
      </c>
      <c r="F62" s="10">
        <v>0</v>
      </c>
      <c r="G62" s="10">
        <v>0</v>
      </c>
      <c r="H62" s="10">
        <v>0</v>
      </c>
      <c r="I62" s="10">
        <v>0</v>
      </c>
      <c r="J62" s="1">
        <v>5066.1400000000003</v>
      </c>
      <c r="K62" s="10">
        <v>0</v>
      </c>
      <c r="L62" s="10">
        <v>0</v>
      </c>
      <c r="M62" s="1">
        <v>126.8</v>
      </c>
      <c r="N62" s="10">
        <v>0</v>
      </c>
      <c r="O62" s="1">
        <v>5192.9399999999996</v>
      </c>
      <c r="P62" s="6">
        <f>(O62-O63)/O63</f>
        <v>8.5285671890086637E-2</v>
      </c>
      <c r="Q62" s="6">
        <f>O62/$O$83</f>
        <v>2.6674205868177352E-2</v>
      </c>
      <c r="R62" s="1">
        <v>408.08</v>
      </c>
    </row>
    <row r="63" spans="1:18" x14ac:dyDescent="0.3">
      <c r="A63" s="1" t="s">
        <v>11</v>
      </c>
      <c r="B63" s="10">
        <v>0</v>
      </c>
      <c r="C63" s="10">
        <v>0</v>
      </c>
      <c r="D63" s="10">
        <v>0</v>
      </c>
      <c r="E63" s="10">
        <v>0</v>
      </c>
      <c r="F63" s="10">
        <v>0</v>
      </c>
      <c r="G63" s="10">
        <v>0</v>
      </c>
      <c r="H63" s="10">
        <v>0</v>
      </c>
      <c r="I63" s="10">
        <v>0</v>
      </c>
      <c r="J63" s="1">
        <v>4675.87</v>
      </c>
      <c r="K63" s="10">
        <v>0</v>
      </c>
      <c r="L63" s="10">
        <v>0</v>
      </c>
      <c r="M63" s="1">
        <v>108.99</v>
      </c>
      <c r="N63" s="10">
        <v>0</v>
      </c>
      <c r="O63" s="1">
        <v>4784.8599999999997</v>
      </c>
      <c r="P63" s="1"/>
      <c r="Q63" s="1"/>
      <c r="R63" s="1"/>
    </row>
    <row r="64" spans="1:18" x14ac:dyDescent="0.3">
      <c r="A64" s="1" t="s">
        <v>43</v>
      </c>
      <c r="B64" s="10">
        <v>0</v>
      </c>
      <c r="C64" s="10">
        <v>0</v>
      </c>
      <c r="D64" s="10">
        <v>0</v>
      </c>
      <c r="E64" s="10">
        <v>0</v>
      </c>
      <c r="F64" s="10">
        <v>0</v>
      </c>
      <c r="G64" s="10">
        <v>0</v>
      </c>
      <c r="H64" s="10">
        <v>0</v>
      </c>
      <c r="I64" s="10">
        <v>0</v>
      </c>
      <c r="J64" s="1">
        <v>47.8</v>
      </c>
      <c r="K64" s="10">
        <v>0</v>
      </c>
      <c r="L64" s="10">
        <v>0</v>
      </c>
      <c r="M64" s="1">
        <v>2.71</v>
      </c>
      <c r="N64" s="10">
        <v>0</v>
      </c>
      <c r="O64" s="1">
        <v>50.51</v>
      </c>
      <c r="P64" s="10">
        <v>0</v>
      </c>
      <c r="Q64" s="6">
        <f>O64/$O$83</f>
        <v>2.5945112756966919E-4</v>
      </c>
      <c r="R64" s="1">
        <v>50.51</v>
      </c>
    </row>
    <row r="65" spans="1:18" x14ac:dyDescent="0.3">
      <c r="A65" s="1" t="s">
        <v>11</v>
      </c>
      <c r="B65" s="10">
        <v>0</v>
      </c>
      <c r="C65" s="10">
        <v>0</v>
      </c>
      <c r="D65" s="10">
        <v>0</v>
      </c>
      <c r="E65" s="10">
        <v>0</v>
      </c>
      <c r="F65" s="10">
        <v>0</v>
      </c>
      <c r="G65" s="10">
        <v>0</v>
      </c>
      <c r="H65" s="10">
        <v>0</v>
      </c>
      <c r="I65" s="10">
        <v>0</v>
      </c>
      <c r="J65" s="10">
        <v>0</v>
      </c>
      <c r="K65" s="10">
        <v>0</v>
      </c>
      <c r="L65" s="10">
        <v>0</v>
      </c>
      <c r="M65" s="10">
        <v>0</v>
      </c>
      <c r="N65" s="10">
        <v>0</v>
      </c>
      <c r="O65" s="10">
        <v>0</v>
      </c>
      <c r="P65" s="1"/>
      <c r="Q65" s="1"/>
      <c r="R65" s="1"/>
    </row>
    <row r="66" spans="1:18" x14ac:dyDescent="0.3">
      <c r="A66" s="1" t="s">
        <v>44</v>
      </c>
      <c r="B66" s="10">
        <v>0</v>
      </c>
      <c r="C66" s="10">
        <v>0</v>
      </c>
      <c r="D66" s="10">
        <v>0</v>
      </c>
      <c r="E66" s="10">
        <v>0</v>
      </c>
      <c r="F66" s="10">
        <v>0</v>
      </c>
      <c r="G66" s="10">
        <v>0</v>
      </c>
      <c r="H66" s="10">
        <v>0</v>
      </c>
      <c r="I66" s="10">
        <v>0</v>
      </c>
      <c r="J66" s="1">
        <v>1151.93</v>
      </c>
      <c r="K66" s="10">
        <v>0</v>
      </c>
      <c r="L66" s="10">
        <v>0</v>
      </c>
      <c r="M66" s="1">
        <v>25.56</v>
      </c>
      <c r="N66" s="10">
        <v>0</v>
      </c>
      <c r="O66" s="1">
        <v>1177.49</v>
      </c>
      <c r="P66" s="6">
        <f>(O66-O67)/O67</f>
        <v>0.22152601275999786</v>
      </c>
      <c r="Q66" s="6">
        <f>O66/$O$83</f>
        <v>6.048329206137593E-3</v>
      </c>
      <c r="R66" s="1">
        <v>213.54</v>
      </c>
    </row>
    <row r="67" spans="1:18" x14ac:dyDescent="0.3">
      <c r="A67" s="1" t="s">
        <v>11</v>
      </c>
      <c r="B67" s="10">
        <v>0</v>
      </c>
      <c r="C67" s="10">
        <v>0</v>
      </c>
      <c r="D67" s="10">
        <v>0</v>
      </c>
      <c r="E67" s="10">
        <v>0</v>
      </c>
      <c r="F67" s="10">
        <v>0</v>
      </c>
      <c r="G67" s="10">
        <v>0</v>
      </c>
      <c r="H67" s="10">
        <v>0</v>
      </c>
      <c r="I67" s="10">
        <v>0</v>
      </c>
      <c r="J67" s="1">
        <v>945.42</v>
      </c>
      <c r="K67" s="10">
        <v>0</v>
      </c>
      <c r="L67" s="10">
        <v>0</v>
      </c>
      <c r="M67" s="1">
        <v>18.53</v>
      </c>
      <c r="N67" s="10">
        <v>0</v>
      </c>
      <c r="O67" s="1">
        <v>963.95</v>
      </c>
      <c r="P67" s="1"/>
      <c r="Q67" s="1"/>
      <c r="R67" s="1"/>
    </row>
    <row r="68" spans="1:18" x14ac:dyDescent="0.3">
      <c r="A68" s="1" t="s">
        <v>45</v>
      </c>
      <c r="B68" s="10">
        <v>0</v>
      </c>
      <c r="C68" s="10">
        <v>0</v>
      </c>
      <c r="D68" s="10">
        <v>0</v>
      </c>
      <c r="E68" s="10">
        <v>0</v>
      </c>
      <c r="F68" s="10">
        <v>0</v>
      </c>
      <c r="G68" s="10">
        <v>0</v>
      </c>
      <c r="H68" s="10">
        <v>0</v>
      </c>
      <c r="I68" s="10">
        <v>0</v>
      </c>
      <c r="J68" s="1">
        <v>10.35</v>
      </c>
      <c r="K68" s="10">
        <v>0</v>
      </c>
      <c r="L68" s="10">
        <v>0</v>
      </c>
      <c r="M68" s="10">
        <v>0</v>
      </c>
      <c r="N68" s="10">
        <v>0</v>
      </c>
      <c r="O68" s="1">
        <v>10.35</v>
      </c>
      <c r="P68" s="10">
        <v>0</v>
      </c>
      <c r="Q68" s="6">
        <f>O68/$O$83</f>
        <v>5.3164109490122279E-5</v>
      </c>
      <c r="R68" s="1">
        <v>10.35</v>
      </c>
    </row>
    <row r="69" spans="1:18" x14ac:dyDescent="0.3">
      <c r="A69" s="1" t="s">
        <v>11</v>
      </c>
      <c r="B69" s="10">
        <v>0</v>
      </c>
      <c r="C69" s="10">
        <v>0</v>
      </c>
      <c r="D69" s="10">
        <v>0</v>
      </c>
      <c r="E69" s="10">
        <v>0</v>
      </c>
      <c r="F69" s="10">
        <v>0</v>
      </c>
      <c r="G69" s="10">
        <v>0</v>
      </c>
      <c r="H69" s="10">
        <v>0</v>
      </c>
      <c r="I69" s="10">
        <v>0</v>
      </c>
      <c r="J69" s="10">
        <v>0</v>
      </c>
      <c r="K69" s="10">
        <v>0</v>
      </c>
      <c r="L69" s="10">
        <v>0</v>
      </c>
      <c r="M69" s="10">
        <v>0</v>
      </c>
      <c r="N69" s="10">
        <v>0</v>
      </c>
      <c r="O69" s="10">
        <v>0</v>
      </c>
      <c r="P69" s="1"/>
      <c r="Q69" s="1"/>
      <c r="R69" s="1"/>
    </row>
    <row r="70" spans="1:18" x14ac:dyDescent="0.3">
      <c r="A70" s="1" t="s">
        <v>46</v>
      </c>
      <c r="B70" s="10">
        <v>0</v>
      </c>
      <c r="C70" s="10">
        <v>0</v>
      </c>
      <c r="D70" s="10">
        <v>0</v>
      </c>
      <c r="E70" s="10">
        <v>0</v>
      </c>
      <c r="F70" s="10">
        <v>0</v>
      </c>
      <c r="G70" s="10">
        <v>0</v>
      </c>
      <c r="H70" s="10">
        <v>0</v>
      </c>
      <c r="I70" s="10">
        <v>0</v>
      </c>
      <c r="J70" s="1">
        <v>9376.09</v>
      </c>
      <c r="K70" s="10">
        <v>0</v>
      </c>
      <c r="L70" s="10">
        <v>0</v>
      </c>
      <c r="M70" s="1">
        <v>90.16</v>
      </c>
      <c r="N70" s="1">
        <v>0.03</v>
      </c>
      <c r="O70" s="10">
        <v>9466.2800000000007</v>
      </c>
      <c r="P70" s="6">
        <f>(O70-O71)/O71</f>
        <v>5.2048522163381648E-2</v>
      </c>
      <c r="Q70" s="6">
        <f>O70/$O$83</f>
        <v>4.8624767766585003E-2</v>
      </c>
      <c r="R70" s="1">
        <v>468.33</v>
      </c>
    </row>
    <row r="71" spans="1:18" x14ac:dyDescent="0.3">
      <c r="A71" s="1" t="s">
        <v>11</v>
      </c>
      <c r="B71" s="10">
        <v>0</v>
      </c>
      <c r="C71" s="10">
        <v>0</v>
      </c>
      <c r="D71" s="10">
        <v>0</v>
      </c>
      <c r="E71" s="10">
        <v>0</v>
      </c>
      <c r="F71" s="10">
        <v>0</v>
      </c>
      <c r="G71" s="10">
        <v>0</v>
      </c>
      <c r="H71" s="10">
        <v>0</v>
      </c>
      <c r="I71" s="10">
        <v>0</v>
      </c>
      <c r="J71" s="1">
        <v>8891.98</v>
      </c>
      <c r="K71" s="10">
        <v>0</v>
      </c>
      <c r="L71" s="10">
        <v>0</v>
      </c>
      <c r="M71" s="1">
        <v>105.82</v>
      </c>
      <c r="N71" s="1">
        <v>0.15</v>
      </c>
      <c r="O71" s="1">
        <v>8997.9500000000007</v>
      </c>
      <c r="P71" s="1"/>
      <c r="Q71" s="1"/>
      <c r="R71" s="1"/>
    </row>
    <row r="72" spans="1:18" x14ac:dyDescent="0.3">
      <c r="A72" s="2" t="s">
        <v>47</v>
      </c>
      <c r="B72" s="4">
        <v>0</v>
      </c>
      <c r="C72" s="4">
        <v>0</v>
      </c>
      <c r="D72" s="4">
        <v>0</v>
      </c>
      <c r="E72" s="4">
        <v>0</v>
      </c>
      <c r="F72" s="4">
        <v>0</v>
      </c>
      <c r="G72" s="4">
        <v>0</v>
      </c>
      <c r="H72" s="4">
        <v>0</v>
      </c>
      <c r="I72" s="4">
        <v>0</v>
      </c>
      <c r="J72" s="2">
        <f>SUM(J58+J60+J62+J64+J66+J68+J70)</f>
        <v>22850.760000000002</v>
      </c>
      <c r="K72" s="4">
        <v>0</v>
      </c>
      <c r="L72" s="4">
        <v>0</v>
      </c>
      <c r="M72" s="2">
        <f t="shared" ref="M72:O73" si="3">SUM(M58+M60+M62+M64+M66+M68+M70)</f>
        <v>466.28999999999996</v>
      </c>
      <c r="N72" s="2">
        <f t="shared" si="3"/>
        <v>0.03</v>
      </c>
      <c r="O72" s="2">
        <f t="shared" si="3"/>
        <v>23317.08</v>
      </c>
      <c r="P72" s="7">
        <f>(O72-O73)/O73</f>
        <v>0.11457624785314434</v>
      </c>
      <c r="Q72" s="7">
        <f>O72/$O$83</f>
        <v>0.11977118783670923</v>
      </c>
      <c r="R72" s="2">
        <f>SUM(R58+R60+R62+R64+R66+R68+R70)</f>
        <v>2396.9499999999998</v>
      </c>
    </row>
    <row r="73" spans="1:18" x14ac:dyDescent="0.3">
      <c r="A73" s="1" t="s">
        <v>37</v>
      </c>
      <c r="B73" s="10">
        <v>0</v>
      </c>
      <c r="C73" s="10">
        <v>0</v>
      </c>
      <c r="D73" s="10">
        <v>0</v>
      </c>
      <c r="E73" s="10">
        <v>0</v>
      </c>
      <c r="F73" s="10">
        <v>0</v>
      </c>
      <c r="G73" s="10">
        <v>0</v>
      </c>
      <c r="H73" s="10">
        <v>0</v>
      </c>
      <c r="I73" s="10">
        <v>0</v>
      </c>
      <c r="J73" s="1">
        <f>SUM(J59+J61+J63+J65+J67+J69+J71)</f>
        <v>20424.449999999997</v>
      </c>
      <c r="K73" s="10">
        <v>0</v>
      </c>
      <c r="L73" s="10">
        <v>0</v>
      </c>
      <c r="M73" s="1">
        <f t="shared" si="3"/>
        <v>495.53000000000003</v>
      </c>
      <c r="N73" s="1">
        <f t="shared" si="3"/>
        <v>0.15</v>
      </c>
      <c r="O73" s="1">
        <f t="shared" si="3"/>
        <v>20920.13</v>
      </c>
      <c r="P73" s="1"/>
      <c r="Q73" s="1"/>
      <c r="R73" s="1"/>
    </row>
    <row r="74" spans="1:18" x14ac:dyDescent="0.3">
      <c r="A74" s="1" t="s">
        <v>38</v>
      </c>
      <c r="B74" s="10">
        <v>0</v>
      </c>
      <c r="C74" s="10">
        <v>0</v>
      </c>
      <c r="D74" s="10">
        <v>0</v>
      </c>
      <c r="E74" s="10">
        <v>0</v>
      </c>
      <c r="F74" s="10">
        <v>0</v>
      </c>
      <c r="G74" s="10">
        <v>0</v>
      </c>
      <c r="H74" s="10">
        <v>0</v>
      </c>
      <c r="I74" s="10">
        <v>0</v>
      </c>
      <c r="J74" s="14">
        <f>(J72-J73)/J73</f>
        <v>0.11879438614014112</v>
      </c>
      <c r="K74" s="10">
        <v>0</v>
      </c>
      <c r="L74" s="10">
        <v>0</v>
      </c>
      <c r="M74" s="14">
        <f>(M72-M73)/M73</f>
        <v>-5.9007527294008565E-2</v>
      </c>
      <c r="N74" s="14">
        <f>(N72-N73)/N73</f>
        <v>-0.8</v>
      </c>
      <c r="O74" s="14">
        <f>(O72-O73)/O73</f>
        <v>0.11457624785314434</v>
      </c>
      <c r="P74" s="1"/>
      <c r="Q74" s="1"/>
      <c r="R74" s="1"/>
    </row>
    <row r="75" spans="1:18" x14ac:dyDescent="0.3">
      <c r="A75" s="2" t="s">
        <v>58</v>
      </c>
      <c r="B75" s="10"/>
      <c r="C75" s="10"/>
      <c r="D75" s="10"/>
      <c r="E75" s="10"/>
      <c r="F75" s="10"/>
      <c r="G75" s="10"/>
      <c r="H75" s="10"/>
      <c r="I75" s="10"/>
      <c r="J75" s="1"/>
      <c r="K75" s="10"/>
      <c r="L75" s="10"/>
      <c r="M75" s="1"/>
      <c r="N75" s="1"/>
      <c r="O75" s="1"/>
      <c r="P75" s="1"/>
      <c r="Q75" s="1"/>
      <c r="R75" s="1"/>
    </row>
    <row r="76" spans="1:18" x14ac:dyDescent="0.3">
      <c r="A76" s="1" t="s">
        <v>59</v>
      </c>
      <c r="B76" s="10">
        <v>0</v>
      </c>
      <c r="C76" s="10">
        <v>0</v>
      </c>
      <c r="D76" s="10">
        <v>0</v>
      </c>
      <c r="E76" s="10">
        <v>0</v>
      </c>
      <c r="F76" s="10">
        <v>0</v>
      </c>
      <c r="G76" s="10">
        <v>0</v>
      </c>
      <c r="H76" s="10">
        <v>0</v>
      </c>
      <c r="I76" s="10">
        <v>0</v>
      </c>
      <c r="J76" s="10">
        <v>0</v>
      </c>
      <c r="K76" s="10">
        <v>0</v>
      </c>
      <c r="L76" s="10">
        <v>0</v>
      </c>
      <c r="M76" s="10">
        <v>0</v>
      </c>
      <c r="N76" s="1">
        <v>7016.1</v>
      </c>
      <c r="O76" s="1">
        <v>7016.1</v>
      </c>
      <c r="P76" s="6">
        <f>(O76-O77)/O77</f>
        <v>0.25792015834937992</v>
      </c>
      <c r="Q76" s="6">
        <f>O76/$O$83</f>
        <v>3.6039102279579419E-2</v>
      </c>
      <c r="R76" s="1">
        <v>1438.56</v>
      </c>
    </row>
    <row r="77" spans="1:18" x14ac:dyDescent="0.3">
      <c r="A77" s="1" t="s">
        <v>11</v>
      </c>
      <c r="B77" s="10">
        <v>0</v>
      </c>
      <c r="C77" s="10">
        <v>0</v>
      </c>
      <c r="D77" s="10">
        <v>0</v>
      </c>
      <c r="E77" s="10">
        <v>0</v>
      </c>
      <c r="F77" s="10">
        <v>0</v>
      </c>
      <c r="G77" s="10">
        <v>0</v>
      </c>
      <c r="H77" s="10">
        <v>0</v>
      </c>
      <c r="I77" s="10">
        <v>0</v>
      </c>
      <c r="J77" s="10">
        <v>0</v>
      </c>
      <c r="K77" s="10">
        <v>0</v>
      </c>
      <c r="L77" s="10">
        <v>0</v>
      </c>
      <c r="M77" s="10">
        <v>0</v>
      </c>
      <c r="N77" s="1">
        <v>5577.54</v>
      </c>
      <c r="O77" s="1">
        <v>5577.54</v>
      </c>
      <c r="P77" s="1"/>
      <c r="Q77" s="1"/>
      <c r="R77" s="1"/>
    </row>
    <row r="78" spans="1:18" x14ac:dyDescent="0.3">
      <c r="A78" s="1" t="s">
        <v>60</v>
      </c>
      <c r="B78" s="10">
        <v>0</v>
      </c>
      <c r="C78" s="10">
        <v>0</v>
      </c>
      <c r="D78" s="10">
        <v>0</v>
      </c>
      <c r="E78" s="10">
        <v>0</v>
      </c>
      <c r="F78" s="10">
        <v>0</v>
      </c>
      <c r="G78" s="10">
        <v>0</v>
      </c>
      <c r="H78" s="10">
        <v>0</v>
      </c>
      <c r="I78" s="10">
        <v>0</v>
      </c>
      <c r="J78" s="10">
        <v>0</v>
      </c>
      <c r="K78" s="10">
        <v>0</v>
      </c>
      <c r="L78" s="10">
        <v>0</v>
      </c>
      <c r="M78" s="10">
        <v>0</v>
      </c>
      <c r="N78" s="1">
        <v>777.34</v>
      </c>
      <c r="O78" s="1">
        <v>777.34</v>
      </c>
      <c r="P78" s="6">
        <f>(O78-O79)/O79</f>
        <v>0.11256780546451212</v>
      </c>
      <c r="Q78" s="6">
        <f>O78/$O$83</f>
        <v>3.9929071372996772E-3</v>
      </c>
      <c r="R78" s="1">
        <v>78.650000000000006</v>
      </c>
    </row>
    <row r="79" spans="1:18" x14ac:dyDescent="0.3">
      <c r="A79" s="1" t="s">
        <v>11</v>
      </c>
      <c r="B79" s="10">
        <v>0</v>
      </c>
      <c r="C79" s="10">
        <v>0</v>
      </c>
      <c r="D79" s="10">
        <v>0</v>
      </c>
      <c r="E79" s="10">
        <v>0</v>
      </c>
      <c r="F79" s="10">
        <v>0</v>
      </c>
      <c r="G79" s="10">
        <v>0</v>
      </c>
      <c r="H79" s="10">
        <v>0</v>
      </c>
      <c r="I79" s="10">
        <v>0</v>
      </c>
      <c r="J79" s="10">
        <v>0</v>
      </c>
      <c r="K79" s="10">
        <v>0</v>
      </c>
      <c r="L79" s="10">
        <v>0</v>
      </c>
      <c r="M79" s="10">
        <v>0</v>
      </c>
      <c r="N79" s="1">
        <v>698.69</v>
      </c>
      <c r="O79" s="1">
        <v>698.69</v>
      </c>
      <c r="P79" s="1"/>
      <c r="Q79" s="1"/>
      <c r="R79" s="1"/>
    </row>
    <row r="80" spans="1:18" x14ac:dyDescent="0.3">
      <c r="A80" s="2" t="s">
        <v>61</v>
      </c>
      <c r="B80" s="4">
        <v>0</v>
      </c>
      <c r="C80" s="4">
        <v>0</v>
      </c>
      <c r="D80" s="4">
        <v>0</v>
      </c>
      <c r="E80" s="4">
        <v>0</v>
      </c>
      <c r="F80" s="4">
        <v>0</v>
      </c>
      <c r="G80" s="4">
        <v>0</v>
      </c>
      <c r="H80" s="4">
        <v>0</v>
      </c>
      <c r="I80" s="4">
        <v>0</v>
      </c>
      <c r="J80" s="4">
        <v>0</v>
      </c>
      <c r="K80" s="4">
        <v>0</v>
      </c>
      <c r="L80" s="4">
        <v>0</v>
      </c>
      <c r="M80" s="4">
        <v>0</v>
      </c>
      <c r="N80" s="2">
        <f>SUM(N76+N78)</f>
        <v>7793.4400000000005</v>
      </c>
      <c r="O80" s="2">
        <f>SUM(O76+O78)</f>
        <v>7793.4400000000005</v>
      </c>
      <c r="P80" s="7">
        <f>(O80-O81)/O81</f>
        <v>0.2417390694732349</v>
      </c>
      <c r="Q80" s="7">
        <f>O80/$O$83</f>
        <v>4.0032009416879094E-2</v>
      </c>
      <c r="R80" s="2">
        <f>SUM(R76+R78)</f>
        <v>1517.21</v>
      </c>
    </row>
    <row r="81" spans="1:18" x14ac:dyDescent="0.3">
      <c r="A81" s="1" t="s">
        <v>37</v>
      </c>
      <c r="B81" s="10">
        <v>0</v>
      </c>
      <c r="C81" s="10">
        <v>0</v>
      </c>
      <c r="D81" s="10">
        <v>0</v>
      </c>
      <c r="E81" s="10">
        <v>0</v>
      </c>
      <c r="F81" s="10">
        <v>0</v>
      </c>
      <c r="G81" s="10">
        <v>0</v>
      </c>
      <c r="H81" s="10">
        <v>0</v>
      </c>
      <c r="I81" s="10">
        <v>0</v>
      </c>
      <c r="J81" s="10">
        <v>0</v>
      </c>
      <c r="K81" s="10">
        <v>0</v>
      </c>
      <c r="L81" s="10">
        <v>0</v>
      </c>
      <c r="M81" s="10">
        <v>0</v>
      </c>
      <c r="N81" s="1">
        <f>SUM(N77+N79)</f>
        <v>6276.23</v>
      </c>
      <c r="O81" s="1">
        <f>SUM(O77+O79)</f>
        <v>6276.23</v>
      </c>
      <c r="P81" s="1"/>
      <c r="Q81" s="1"/>
      <c r="R81" s="1"/>
    </row>
    <row r="82" spans="1:18" x14ac:dyDescent="0.3">
      <c r="A82" s="1" t="s">
        <v>38</v>
      </c>
      <c r="B82" s="10">
        <v>0</v>
      </c>
      <c r="C82" s="10">
        <v>0</v>
      </c>
      <c r="D82" s="10">
        <v>0</v>
      </c>
      <c r="E82" s="10">
        <v>0</v>
      </c>
      <c r="F82" s="10">
        <v>0</v>
      </c>
      <c r="G82" s="10">
        <v>0</v>
      </c>
      <c r="H82" s="10">
        <v>0</v>
      </c>
      <c r="I82" s="10">
        <v>0</v>
      </c>
      <c r="J82" s="1"/>
      <c r="K82" s="10">
        <v>0</v>
      </c>
      <c r="L82" s="10">
        <v>0</v>
      </c>
      <c r="M82" s="10"/>
      <c r="N82" s="14">
        <f t="shared" ref="N82:O82" si="4">(N80-N81)/N81</f>
        <v>0.2417390694732349</v>
      </c>
      <c r="O82" s="14">
        <f t="shared" si="4"/>
        <v>0.2417390694732349</v>
      </c>
      <c r="P82" s="1"/>
      <c r="Q82" s="1"/>
      <c r="R82" s="1"/>
    </row>
    <row r="83" spans="1:18" x14ac:dyDescent="0.3">
      <c r="A83" s="2" t="s">
        <v>48</v>
      </c>
      <c r="B83" s="5">
        <f>SUM(B54+B72+B80)</f>
        <v>19237.03</v>
      </c>
      <c r="C83" s="5">
        <f t="shared" ref="C83:O83" si="5">SUM(C54+C72+C80)</f>
        <v>3565.6400000000003</v>
      </c>
      <c r="D83" s="5">
        <f t="shared" si="5"/>
        <v>2648.59</v>
      </c>
      <c r="E83" s="5">
        <f t="shared" si="5"/>
        <v>917.05000000000007</v>
      </c>
      <c r="F83" s="5">
        <f t="shared" si="5"/>
        <v>3963.9</v>
      </c>
      <c r="G83" s="5">
        <f t="shared" si="5"/>
        <v>58992.83</v>
      </c>
      <c r="H83" s="5">
        <f t="shared" si="5"/>
        <v>24248.710000000003</v>
      </c>
      <c r="I83" s="5">
        <f t="shared" si="5"/>
        <v>34744.090000000004</v>
      </c>
      <c r="J83" s="5">
        <f t="shared" si="5"/>
        <v>76564.070000000007</v>
      </c>
      <c r="K83" s="5">
        <f t="shared" si="5"/>
        <v>617.21</v>
      </c>
      <c r="L83" s="5">
        <f t="shared" si="5"/>
        <v>3812.9800000000005</v>
      </c>
      <c r="M83" s="5">
        <f t="shared" si="5"/>
        <v>7504.74</v>
      </c>
      <c r="N83" s="5">
        <f t="shared" si="5"/>
        <v>20421.84</v>
      </c>
      <c r="O83" s="5">
        <f t="shared" si="5"/>
        <v>194680.21000000002</v>
      </c>
      <c r="P83" s="7">
        <f>(O83-O84)/O84</f>
        <v>6.1075431601013648E-2</v>
      </c>
      <c r="Q83" s="7">
        <f>O83/$O$83</f>
        <v>1</v>
      </c>
      <c r="R83" s="2">
        <v>11205.78</v>
      </c>
    </row>
    <row r="84" spans="1:18" x14ac:dyDescent="0.3">
      <c r="A84" s="1" t="s">
        <v>37</v>
      </c>
      <c r="B84" s="12">
        <f t="shared" ref="B84:O84" si="6">SUM(B55+B73+B81)</f>
        <v>16090.01</v>
      </c>
      <c r="C84" s="12">
        <f t="shared" si="6"/>
        <v>3413.8199999999997</v>
      </c>
      <c r="D84" s="12">
        <f t="shared" si="6"/>
        <v>2492.9900000000002</v>
      </c>
      <c r="E84" s="12">
        <f t="shared" si="6"/>
        <v>920.83999999999992</v>
      </c>
      <c r="F84" s="12">
        <f t="shared" si="6"/>
        <v>3504.14</v>
      </c>
      <c r="G84" s="12">
        <f t="shared" si="6"/>
        <v>54418.65</v>
      </c>
      <c r="H84" s="12">
        <f t="shared" si="6"/>
        <v>22770.03</v>
      </c>
      <c r="I84" s="12">
        <f t="shared" si="6"/>
        <v>31648.6</v>
      </c>
      <c r="J84" s="12">
        <f t="shared" si="6"/>
        <v>71538.389999999985</v>
      </c>
      <c r="K84" s="12">
        <f t="shared" si="6"/>
        <v>627.72</v>
      </c>
      <c r="L84" s="12">
        <f t="shared" si="6"/>
        <v>3591.5400000000004</v>
      </c>
      <c r="M84" s="12">
        <f t="shared" si="6"/>
        <v>5699.8600000000006</v>
      </c>
      <c r="N84" s="12">
        <f t="shared" si="6"/>
        <v>24590.310000000005</v>
      </c>
      <c r="O84" s="12">
        <f t="shared" si="6"/>
        <v>183474.43000000005</v>
      </c>
      <c r="P84" s="1"/>
      <c r="Q84" s="1"/>
      <c r="R84" s="1"/>
    </row>
    <row r="85" spans="1:18" x14ac:dyDescent="0.3">
      <c r="A85" s="1" t="s">
        <v>38</v>
      </c>
      <c r="B85" s="14">
        <f t="shared" ref="B85:O85" si="7">(B83-B84)/B84</f>
        <v>0.19558844276666071</v>
      </c>
      <c r="C85" s="14">
        <f t="shared" si="7"/>
        <v>4.4472174865693159E-2</v>
      </c>
      <c r="D85" s="14">
        <f t="shared" si="7"/>
        <v>6.2415011692786529E-2</v>
      </c>
      <c r="E85" s="14">
        <f t="shared" si="7"/>
        <v>-4.1158073063722799E-3</v>
      </c>
      <c r="F85" s="14">
        <f t="shared" si="7"/>
        <v>0.13120480346104899</v>
      </c>
      <c r="G85" s="14">
        <f t="shared" si="7"/>
        <v>8.4055374398299118E-2</v>
      </c>
      <c r="H85" s="14">
        <f t="shared" si="7"/>
        <v>6.4939747554131635E-2</v>
      </c>
      <c r="I85" s="14">
        <f t="shared" si="7"/>
        <v>9.7808117894630578E-2</v>
      </c>
      <c r="J85" s="14">
        <f t="shared" si="7"/>
        <v>7.0251511111726492E-2</v>
      </c>
      <c r="K85" s="14">
        <f t="shared" si="7"/>
        <v>-1.6743133881348356E-2</v>
      </c>
      <c r="L85" s="14">
        <f t="shared" si="7"/>
        <v>6.1656002717497237E-2</v>
      </c>
      <c r="M85" s="14">
        <f t="shared" si="7"/>
        <v>0.31665339148680827</v>
      </c>
      <c r="N85" s="14">
        <f t="shared" si="7"/>
        <v>-0.16951677307036811</v>
      </c>
      <c r="O85" s="14">
        <f t="shared" si="7"/>
        <v>6.1075431601013648E-2</v>
      </c>
      <c r="P85" s="1"/>
      <c r="Q85" s="1"/>
      <c r="R85" s="1"/>
    </row>
    <row r="86" spans="1:18" x14ac:dyDescent="0.3">
      <c r="A86" s="1" t="s">
        <v>49</v>
      </c>
      <c r="B86" s="6">
        <f t="shared" ref="B86:O86" si="8">B83/$O$83</f>
        <v>9.8813484945388108E-2</v>
      </c>
      <c r="C86" s="6">
        <f t="shared" si="8"/>
        <v>1.8315369600227983E-2</v>
      </c>
      <c r="D86" s="6">
        <f t="shared" si="8"/>
        <v>1.36048240342457E-2</v>
      </c>
      <c r="E86" s="6">
        <f t="shared" si="8"/>
        <v>4.7105455659822845E-3</v>
      </c>
      <c r="F86" s="6">
        <f t="shared" si="8"/>
        <v>2.0361083440376397E-2</v>
      </c>
      <c r="G86" s="6">
        <f t="shared" si="8"/>
        <v>0.30302427760890538</v>
      </c>
      <c r="H86" s="6">
        <f t="shared" si="8"/>
        <v>0.12455662545258196</v>
      </c>
      <c r="I86" s="6">
        <f t="shared" si="8"/>
        <v>0.17846749805745535</v>
      </c>
      <c r="J86" s="6">
        <f t="shared" si="8"/>
        <v>0.39328121743858813</v>
      </c>
      <c r="K86" s="6">
        <f t="shared" si="8"/>
        <v>3.1703787457389733E-3</v>
      </c>
      <c r="L86" s="6">
        <f t="shared" si="8"/>
        <v>1.9585863401318501E-2</v>
      </c>
      <c r="M86" s="6">
        <f t="shared" si="8"/>
        <v>3.8549064642985534E-2</v>
      </c>
      <c r="N86" s="6">
        <f t="shared" si="8"/>
        <v>0.10489941427533901</v>
      </c>
      <c r="O86" s="6">
        <f t="shared" si="8"/>
        <v>1</v>
      </c>
      <c r="P86" s="1"/>
      <c r="Q86" s="1"/>
      <c r="R86" s="1"/>
    </row>
    <row r="87" spans="1:18" x14ac:dyDescent="0.3">
      <c r="A87" s="1" t="s">
        <v>50</v>
      </c>
      <c r="B87" s="6">
        <f t="shared" ref="B87:O87" si="9">B84/$O$84</f>
        <v>8.7696198320387178E-2</v>
      </c>
      <c r="C87" s="6">
        <f t="shared" si="9"/>
        <v>1.8606516450275924E-2</v>
      </c>
      <c r="D87" s="6">
        <f t="shared" si="9"/>
        <v>1.3587669954881448E-2</v>
      </c>
      <c r="E87" s="6">
        <f t="shared" si="9"/>
        <v>5.0189009989021344E-3</v>
      </c>
      <c r="F87" s="6">
        <f t="shared" si="9"/>
        <v>1.9098792131415798E-2</v>
      </c>
      <c r="G87" s="6">
        <f t="shared" si="9"/>
        <v>0.29660073068492426</v>
      </c>
      <c r="H87" s="6">
        <f t="shared" si="9"/>
        <v>0.12410465044093606</v>
      </c>
      <c r="I87" s="6">
        <f t="shared" si="9"/>
        <v>0.17249597123697286</v>
      </c>
      <c r="J87" s="6">
        <f t="shared" si="9"/>
        <v>0.38990931869906864</v>
      </c>
      <c r="K87" s="6">
        <f t="shared" si="9"/>
        <v>3.4212941825190564E-3</v>
      </c>
      <c r="L87" s="6">
        <f t="shared" si="9"/>
        <v>1.9575152788320418E-2</v>
      </c>
      <c r="M87" s="6">
        <f t="shared" si="9"/>
        <v>3.1066236314237352E-2</v>
      </c>
      <c r="N87" s="6">
        <f t="shared" si="9"/>
        <v>0.13402581493235868</v>
      </c>
      <c r="O87" s="6">
        <f t="shared" si="9"/>
        <v>1</v>
      </c>
      <c r="P87" s="1"/>
      <c r="Q87" s="1"/>
      <c r="R87" s="1"/>
    </row>
    <row r="89" spans="1:18" ht="35.4" customHeight="1" x14ac:dyDescent="0.3">
      <c r="A89" s="21" t="s">
        <v>75</v>
      </c>
      <c r="B89" s="21"/>
      <c r="C89" s="21"/>
      <c r="D89" s="21"/>
      <c r="E89" s="21"/>
      <c r="F89" s="21"/>
      <c r="G89" s="21"/>
      <c r="H89" s="21"/>
      <c r="I89" s="21"/>
      <c r="J89" s="21"/>
      <c r="K89" s="21"/>
      <c r="L89" s="21"/>
      <c r="M89" s="21"/>
      <c r="N89" s="21"/>
      <c r="O89" s="21"/>
      <c r="P89" s="21"/>
      <c r="Q89" s="21"/>
      <c r="R89" s="21"/>
    </row>
  </sheetData>
  <mergeCells count="2">
    <mergeCell ref="A1:R1"/>
    <mergeCell ref="A89:R89"/>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Health Portfolio</vt:lpstr>
      <vt:lpstr>Liability Portfolio</vt:lpstr>
      <vt:lpstr>Miscellaneous portfolio</vt:lpstr>
      <vt:lpstr>Segmentwise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Sharad Taware</cp:lastModifiedBy>
  <dcterms:created xsi:type="dcterms:W3CDTF">2025-11-12T12:10:37Z</dcterms:created>
  <dcterms:modified xsi:type="dcterms:W3CDTF">2025-11-13T07:35:43Z</dcterms:modified>
</cp:coreProperties>
</file>