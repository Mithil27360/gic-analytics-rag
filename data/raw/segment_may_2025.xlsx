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hara\Downloads\"/>
    </mc:Choice>
  </mc:AlternateContent>
  <xr:revisionPtr revIDLastSave="0" documentId="13_ncr:1_{0CF172BE-2183-4746-8153-A46B924543AC}" xr6:coauthVersionLast="47" xr6:coauthVersionMax="47" xr10:uidLastSave="{00000000-0000-0000-0000-000000000000}"/>
  <bookViews>
    <workbookView xWindow="-108" yWindow="-108" windowWidth="23256" windowHeight="13896" activeTab="3" xr2:uid="{00000000-000D-0000-FFFF-FFFF00000000}"/>
  </bookViews>
  <sheets>
    <sheet name="Health Portfolio" sheetId="1" r:id="rId1"/>
    <sheet name="Liability Portfolio" sheetId="2" r:id="rId2"/>
    <sheet name="Miscellaneous portfolio" sheetId="3" r:id="rId3"/>
    <sheet name="Segmentwise Repor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5" i="3" l="1"/>
  <c r="G62" i="3"/>
  <c r="G60" i="3"/>
  <c r="G58" i="3"/>
  <c r="G54" i="3"/>
  <c r="G52" i="3"/>
  <c r="G50" i="3"/>
  <c r="G48" i="3"/>
  <c r="G46" i="3"/>
  <c r="G44" i="3"/>
  <c r="G42" i="3"/>
  <c r="G40" i="3"/>
  <c r="G38" i="3"/>
  <c r="G36" i="3"/>
  <c r="G34" i="3"/>
  <c r="G28" i="3"/>
  <c r="G26" i="3"/>
  <c r="G24" i="3"/>
  <c r="G22" i="3"/>
  <c r="G20" i="3"/>
  <c r="G18" i="3"/>
  <c r="G16" i="3"/>
  <c r="G14" i="3"/>
  <c r="G12" i="3"/>
  <c r="G10" i="3"/>
  <c r="G8" i="3"/>
  <c r="G6" i="3"/>
  <c r="F65" i="3"/>
  <c r="F62" i="3"/>
  <c r="F60" i="3"/>
  <c r="F58" i="3"/>
  <c r="F54" i="3"/>
  <c r="F52" i="3"/>
  <c r="F50" i="3"/>
  <c r="F48" i="3"/>
  <c r="F46" i="3"/>
  <c r="F44" i="3"/>
  <c r="F42" i="3"/>
  <c r="F40" i="3"/>
  <c r="F38" i="3"/>
  <c r="F36" i="3"/>
  <c r="F34" i="3"/>
  <c r="F28" i="3"/>
  <c r="F26" i="3"/>
  <c r="F24" i="3"/>
  <c r="F22" i="3"/>
  <c r="F20" i="3"/>
  <c r="F18" i="3"/>
  <c r="F16" i="3"/>
  <c r="F14" i="3"/>
  <c r="F12" i="3"/>
  <c r="F10" i="3"/>
  <c r="F8" i="3"/>
  <c r="F6" i="3"/>
  <c r="G4" i="3"/>
  <c r="F4" i="3"/>
  <c r="Q83" i="4"/>
  <c r="Q80" i="4"/>
  <c r="Q78" i="4"/>
  <c r="Q76" i="4"/>
  <c r="Q72" i="4"/>
  <c r="Q70" i="4"/>
  <c r="Q66" i="4"/>
  <c r="Q64" i="4"/>
  <c r="Q62" i="4"/>
  <c r="Q60" i="4"/>
  <c r="Q58" i="4"/>
  <c r="Q54" i="4"/>
  <c r="Q52" i="4"/>
  <c r="Q50" i="4"/>
  <c r="Q48" i="4"/>
  <c r="Q46" i="4"/>
  <c r="Q44" i="4"/>
  <c r="Q42" i="4"/>
  <c r="Q40" i="4"/>
  <c r="Q38" i="4"/>
  <c r="Q36" i="4"/>
  <c r="Q34" i="4"/>
  <c r="Q32" i="4"/>
  <c r="Q30" i="4"/>
  <c r="Q28" i="4"/>
  <c r="Q26" i="4"/>
  <c r="Q24" i="4"/>
  <c r="Q22" i="4"/>
  <c r="Q20" i="4"/>
  <c r="Q18" i="4"/>
  <c r="Q16" i="4"/>
  <c r="Q14" i="4"/>
  <c r="Q12" i="4"/>
  <c r="Q10" i="4"/>
  <c r="Q8" i="4"/>
  <c r="Q6" i="4"/>
  <c r="Q4" i="4"/>
  <c r="P83" i="4"/>
  <c r="P80" i="4"/>
  <c r="P78" i="4"/>
  <c r="P76" i="4"/>
  <c r="P72" i="4"/>
  <c r="P70" i="4"/>
  <c r="P66" i="4"/>
  <c r="P62" i="4"/>
  <c r="P60" i="4"/>
  <c r="P58" i="4"/>
  <c r="P54" i="4"/>
  <c r="P52" i="4"/>
  <c r="P50" i="4"/>
  <c r="P48" i="4"/>
  <c r="P46" i="4"/>
  <c r="P44" i="4"/>
  <c r="P42" i="4"/>
  <c r="P40" i="4"/>
  <c r="P38" i="4"/>
  <c r="P36" i="4"/>
  <c r="P34" i="4"/>
  <c r="P32" i="4"/>
  <c r="P30" i="4"/>
  <c r="P28" i="4"/>
  <c r="P26" i="4"/>
  <c r="P24" i="4"/>
  <c r="P22" i="4"/>
  <c r="P20" i="4"/>
  <c r="P18" i="4"/>
  <c r="P16" i="4"/>
  <c r="P14" i="4"/>
  <c r="P12" i="4"/>
  <c r="P10" i="4"/>
  <c r="P8" i="4"/>
  <c r="P6" i="4"/>
  <c r="P4" i="4"/>
  <c r="O87" i="4"/>
  <c r="N87" i="4"/>
  <c r="M87" i="4"/>
  <c r="L87" i="4"/>
  <c r="K87" i="4"/>
  <c r="J87" i="4"/>
  <c r="I87" i="4"/>
  <c r="H87" i="4"/>
  <c r="G87" i="4"/>
  <c r="F87" i="4"/>
  <c r="E87" i="4"/>
  <c r="D87" i="4"/>
  <c r="C87" i="4"/>
  <c r="B87" i="4"/>
  <c r="O86" i="4"/>
  <c r="N86" i="4"/>
  <c r="M86" i="4"/>
  <c r="L86" i="4"/>
  <c r="K86" i="4"/>
  <c r="J86" i="4"/>
  <c r="I86" i="4"/>
  <c r="H86" i="4"/>
  <c r="G86" i="4"/>
  <c r="F86" i="4"/>
  <c r="E86" i="4"/>
  <c r="D86" i="4"/>
  <c r="C86" i="4"/>
  <c r="B86" i="4"/>
  <c r="O85" i="4"/>
  <c r="N85" i="4"/>
  <c r="M85" i="4"/>
  <c r="L85" i="4"/>
  <c r="K85" i="4"/>
  <c r="J85" i="4"/>
  <c r="I85" i="4"/>
  <c r="H85" i="4"/>
  <c r="G85" i="4"/>
  <c r="F85" i="4"/>
  <c r="E85" i="4"/>
  <c r="D85" i="4"/>
  <c r="C85" i="4"/>
  <c r="B85" i="4"/>
  <c r="O84" i="4"/>
  <c r="N84" i="4"/>
  <c r="M84" i="4"/>
  <c r="L84" i="4"/>
  <c r="K84" i="4"/>
  <c r="J84" i="4"/>
  <c r="I84" i="4"/>
  <c r="H84" i="4"/>
  <c r="G84" i="4"/>
  <c r="F84" i="4"/>
  <c r="E84" i="4"/>
  <c r="D84" i="4"/>
  <c r="C84" i="4"/>
  <c r="B84" i="4"/>
  <c r="R83" i="4"/>
  <c r="O83" i="4"/>
  <c r="N83" i="4"/>
  <c r="M83" i="4"/>
  <c r="L83" i="4"/>
  <c r="K83" i="4"/>
  <c r="J83" i="4"/>
  <c r="I83" i="4"/>
  <c r="H83" i="4"/>
  <c r="G83" i="4"/>
  <c r="F83" i="4"/>
  <c r="E83" i="4"/>
  <c r="D83" i="4"/>
  <c r="C83" i="4"/>
  <c r="B83" i="4"/>
  <c r="O82" i="4"/>
  <c r="N82" i="4"/>
  <c r="O81" i="4"/>
  <c r="N81" i="4"/>
  <c r="R80" i="4"/>
  <c r="O80" i="4"/>
  <c r="N80" i="4"/>
  <c r="O74" i="4"/>
  <c r="N74" i="4"/>
  <c r="M74" i="4"/>
  <c r="J74" i="4"/>
  <c r="O73" i="4"/>
  <c r="N73" i="4"/>
  <c r="M73" i="4"/>
  <c r="J73" i="4"/>
  <c r="R72" i="4"/>
  <c r="O72" i="4"/>
  <c r="N72" i="4"/>
  <c r="M72" i="4"/>
  <c r="J72" i="4"/>
  <c r="O56" i="4"/>
  <c r="N56" i="4"/>
  <c r="M56" i="4"/>
  <c r="L56" i="4"/>
  <c r="K56" i="4"/>
  <c r="J56" i="4"/>
  <c r="I56" i="4"/>
  <c r="H56" i="4"/>
  <c r="G56" i="4"/>
  <c r="F56" i="4"/>
  <c r="E56" i="4"/>
  <c r="D56" i="4"/>
  <c r="C56" i="4"/>
  <c r="B56" i="4"/>
  <c r="O55" i="4"/>
  <c r="N55" i="4"/>
  <c r="M55" i="4"/>
  <c r="L55" i="4"/>
  <c r="K55" i="4"/>
  <c r="J55" i="4"/>
  <c r="I55" i="4"/>
  <c r="H55" i="4"/>
  <c r="G55" i="4"/>
  <c r="F55" i="4"/>
  <c r="E55" i="4"/>
  <c r="D55" i="4"/>
  <c r="C55" i="4"/>
  <c r="B55" i="4"/>
  <c r="O54" i="4"/>
  <c r="N54" i="4"/>
  <c r="M54" i="4"/>
  <c r="L54" i="4"/>
  <c r="K54" i="4"/>
  <c r="J54" i="4"/>
  <c r="I54" i="4"/>
  <c r="H54" i="4"/>
  <c r="G54" i="4"/>
  <c r="F54" i="4"/>
  <c r="E54" i="4"/>
  <c r="D54" i="4"/>
  <c r="C54" i="4"/>
  <c r="B54" i="4"/>
  <c r="E69" i="3"/>
  <c r="D69" i="3"/>
  <c r="C69" i="3"/>
  <c r="B69" i="3"/>
  <c r="E68" i="3"/>
  <c r="D68" i="3"/>
  <c r="C68" i="3"/>
  <c r="B68" i="3"/>
  <c r="E67" i="3"/>
  <c r="D67" i="3"/>
  <c r="C67" i="3"/>
  <c r="B67" i="3"/>
  <c r="E66" i="3"/>
  <c r="D66" i="3"/>
  <c r="C66" i="3"/>
  <c r="B66" i="3"/>
  <c r="H65" i="3"/>
  <c r="E65" i="3"/>
  <c r="D65" i="3"/>
  <c r="C65" i="3"/>
  <c r="B65" i="3"/>
  <c r="E64" i="3"/>
  <c r="D64" i="3"/>
  <c r="C64" i="3"/>
  <c r="B64" i="3"/>
  <c r="E63" i="3"/>
  <c r="D63" i="3"/>
  <c r="C63" i="3"/>
  <c r="B63" i="3"/>
  <c r="H62" i="3"/>
  <c r="E62" i="3"/>
  <c r="D62" i="3"/>
  <c r="C62" i="3"/>
  <c r="B62" i="3"/>
  <c r="E56" i="3"/>
  <c r="D56" i="3"/>
  <c r="C56" i="3"/>
  <c r="B56" i="3"/>
  <c r="E55" i="3"/>
  <c r="D55" i="3"/>
  <c r="C55" i="3"/>
  <c r="B55" i="3"/>
  <c r="H54" i="3"/>
  <c r="E54" i="3"/>
  <c r="D54" i="3"/>
  <c r="C54" i="3"/>
  <c r="B54" i="3"/>
  <c r="H55" i="2"/>
  <c r="H51" i="2"/>
  <c r="H49" i="2"/>
  <c r="H47" i="2"/>
  <c r="H45" i="2"/>
  <c r="H43" i="2"/>
  <c r="H41" i="2"/>
  <c r="H39" i="2"/>
  <c r="H37" i="2"/>
  <c r="H35" i="2"/>
  <c r="H33" i="2"/>
  <c r="H29" i="2"/>
  <c r="H27" i="2"/>
  <c r="H25" i="2"/>
  <c r="H21" i="2"/>
  <c r="H19" i="2"/>
  <c r="H17" i="2"/>
  <c r="H15" i="2"/>
  <c r="H13" i="2"/>
  <c r="H11" i="2"/>
  <c r="H9" i="2"/>
  <c r="H7" i="2"/>
  <c r="H5" i="2"/>
  <c r="G55" i="2"/>
  <c r="G51" i="2"/>
  <c r="G49" i="2"/>
  <c r="G47" i="2"/>
  <c r="G45" i="2"/>
  <c r="G43" i="2"/>
  <c r="G41" i="2"/>
  <c r="G39" i="2"/>
  <c r="G37" i="2"/>
  <c r="G35" i="2"/>
  <c r="G33" i="2"/>
  <c r="G29" i="2"/>
  <c r="G27" i="2"/>
  <c r="G25" i="2"/>
  <c r="G21" i="2"/>
  <c r="G19" i="2"/>
  <c r="G17" i="2"/>
  <c r="G15" i="2"/>
  <c r="G13" i="2"/>
  <c r="G11" i="2"/>
  <c r="G9" i="2"/>
  <c r="G7" i="2"/>
  <c r="G5" i="2"/>
  <c r="F59" i="2"/>
  <c r="E59" i="2"/>
  <c r="D59" i="2"/>
  <c r="C59" i="2"/>
  <c r="B59" i="2"/>
  <c r="F58" i="2"/>
  <c r="E58" i="2"/>
  <c r="D58" i="2"/>
  <c r="C58" i="2"/>
  <c r="B58" i="2"/>
  <c r="F57" i="2"/>
  <c r="E57" i="2"/>
  <c r="D57" i="2"/>
  <c r="C57" i="2"/>
  <c r="B57" i="2"/>
  <c r="F56" i="2"/>
  <c r="E56" i="2"/>
  <c r="D56" i="2"/>
  <c r="C56" i="2"/>
  <c r="B56" i="2"/>
  <c r="I55" i="2"/>
  <c r="F55" i="2"/>
  <c r="E55" i="2"/>
  <c r="D55" i="2"/>
  <c r="C55" i="2"/>
  <c r="B55" i="2"/>
  <c r="H76" i="1"/>
  <c r="H73" i="1"/>
  <c r="H71" i="1"/>
  <c r="H69" i="1"/>
  <c r="H67" i="1"/>
  <c r="H65" i="1"/>
  <c r="H63" i="1"/>
  <c r="H61" i="1"/>
  <c r="H59" i="1"/>
  <c r="H55" i="1"/>
  <c r="H53" i="1"/>
  <c r="H51" i="1"/>
  <c r="H49" i="1"/>
  <c r="H47" i="1"/>
  <c r="H45" i="1"/>
  <c r="H43" i="1"/>
  <c r="H41" i="1"/>
  <c r="H39" i="1"/>
  <c r="H37" i="1"/>
  <c r="H35" i="1"/>
  <c r="H31" i="1"/>
  <c r="H29" i="1"/>
  <c r="H27" i="1"/>
  <c r="H25" i="1"/>
  <c r="H21" i="1"/>
  <c r="H19" i="1"/>
  <c r="H17" i="1"/>
  <c r="H15" i="1"/>
  <c r="H13" i="1"/>
  <c r="H11" i="1"/>
  <c r="H9" i="1"/>
  <c r="H7" i="1"/>
  <c r="H5" i="1"/>
  <c r="G76" i="1"/>
  <c r="G73" i="1"/>
  <c r="G71" i="1"/>
  <c r="G67" i="1"/>
  <c r="G63" i="1"/>
  <c r="G61" i="1"/>
  <c r="G59" i="1"/>
  <c r="G55" i="1"/>
  <c r="G53" i="1"/>
  <c r="G51" i="1"/>
  <c r="G49" i="1"/>
  <c r="G47" i="1"/>
  <c r="G45" i="1"/>
  <c r="G43" i="1"/>
  <c r="G41" i="1"/>
  <c r="G39" i="1"/>
  <c r="G37" i="1"/>
  <c r="G35" i="1"/>
  <c r="G33" i="1"/>
  <c r="G31" i="1"/>
  <c r="G29" i="1"/>
  <c r="G27" i="1"/>
  <c r="G25" i="1"/>
  <c r="G21" i="1"/>
  <c r="G19" i="1"/>
  <c r="G17" i="1"/>
  <c r="G15" i="1"/>
  <c r="G13" i="1"/>
  <c r="G11" i="1"/>
  <c r="G9" i="1"/>
  <c r="G7" i="1"/>
  <c r="G5" i="1"/>
  <c r="F80" i="1"/>
  <c r="E80" i="1"/>
  <c r="D80" i="1"/>
  <c r="C80" i="1"/>
  <c r="B80" i="1"/>
  <c r="F79" i="1"/>
  <c r="E79" i="1"/>
  <c r="D79" i="1"/>
  <c r="C79" i="1"/>
  <c r="B79" i="1"/>
  <c r="F78" i="1"/>
  <c r="E78" i="1"/>
  <c r="D78" i="1"/>
  <c r="C78" i="1"/>
  <c r="B78" i="1"/>
  <c r="F77" i="1"/>
  <c r="E77" i="1"/>
  <c r="D77" i="1"/>
  <c r="C77" i="1"/>
  <c r="B77" i="1"/>
  <c r="I76" i="1"/>
  <c r="F76" i="1"/>
  <c r="E76" i="1"/>
  <c r="D76" i="1"/>
  <c r="C76" i="1"/>
  <c r="B76" i="1"/>
  <c r="F75" i="1"/>
  <c r="E75" i="1"/>
  <c r="C75" i="1"/>
  <c r="B75" i="1"/>
  <c r="F74" i="1"/>
  <c r="E74" i="1"/>
  <c r="C74" i="1"/>
  <c r="B74" i="1"/>
  <c r="I73" i="1"/>
  <c r="F73" i="1"/>
  <c r="E73" i="1"/>
  <c r="C73" i="1"/>
  <c r="B73" i="1"/>
  <c r="F57" i="1"/>
  <c r="E57" i="1"/>
  <c r="D57" i="1"/>
  <c r="C57" i="1"/>
  <c r="B57" i="1"/>
  <c r="F56" i="1"/>
  <c r="E56" i="1"/>
  <c r="D56" i="1"/>
  <c r="C56" i="1"/>
  <c r="B56" i="1"/>
  <c r="I55" i="1"/>
  <c r="F55" i="1"/>
  <c r="E55" i="1"/>
  <c r="D55" i="1"/>
  <c r="C55" i="1"/>
  <c r="B55" i="1"/>
</calcChain>
</file>

<file path=xl/sharedStrings.xml><?xml version="1.0" encoding="utf-8"?>
<sst xmlns="http://schemas.openxmlformats.org/spreadsheetml/2006/main" count="333" uniqueCount="77">
  <si>
    <t>Health-Retail</t>
  </si>
  <si>
    <t>Health-Group</t>
  </si>
  <si>
    <t>Health-Government schemes</t>
  </si>
  <si>
    <t>Overseas Medical</t>
  </si>
  <si>
    <t>Grand Total</t>
  </si>
  <si>
    <t>Growth %</t>
  </si>
  <si>
    <t>Market %</t>
  </si>
  <si>
    <t>Accretion</t>
  </si>
  <si>
    <t>General Insurers</t>
  </si>
  <si>
    <t>Acko General Insurance Ltd</t>
  </si>
  <si>
    <t>Previous Year</t>
  </si>
  <si>
    <t>Bajaj Allianz General Insurance Co Ltd</t>
  </si>
  <si>
    <t>Cholamandalam MS General Insurance Co Ltd</t>
  </si>
  <si>
    <t>Future Generali India Insurance Co Ltd</t>
  </si>
  <si>
    <t>Go Digit General Insurance Ltd</t>
  </si>
  <si>
    <t>HDFC Ergo General Insurance Co Ltd</t>
  </si>
  <si>
    <t>ICICI Lombard General Insurance Co Ltd</t>
  </si>
  <si>
    <t>IFFCO-Tokio General Insurance Co Ltd</t>
  </si>
  <si>
    <t>Kshema General insurance</t>
  </si>
  <si>
    <t>Liberty  General Insurance Co. Ltd</t>
  </si>
  <si>
    <t>Magma General Insurance Limited</t>
  </si>
  <si>
    <t>National Insurance Co Ltd</t>
  </si>
  <si>
    <t>Navi General Insurance Co. Ltd</t>
  </si>
  <si>
    <t>Raheja QBE General Insurance Co Ltd</t>
  </si>
  <si>
    <t>Reliance General Insurance Co Ltd</t>
  </si>
  <si>
    <t>Royal Sundaram General Insurance Co Ltd</t>
  </si>
  <si>
    <t>SBI General Insurance Co Ltd</t>
  </si>
  <si>
    <t>Shriram General Insurance Co Ltd</t>
  </si>
  <si>
    <t>Tata AIG General Insurance Co Ltd</t>
  </si>
  <si>
    <t>The New India Assurance Co Ltd</t>
  </si>
  <si>
    <t>The Oriental Insurance Co Ltd</t>
  </si>
  <si>
    <t>United India Insurance Co Ltd</t>
  </si>
  <si>
    <t>Universal Sompo General Insurance Co Ltd</t>
  </si>
  <si>
    <t>Zuno General Insurance Co Ltd</t>
  </si>
  <si>
    <t>General Insurers Sub Total</t>
  </si>
  <si>
    <t>Previous Year Sub Total</t>
  </si>
  <si>
    <t>% Growth</t>
  </si>
  <si>
    <t>Stand-alone Health Insurers</t>
  </si>
  <si>
    <t>Aditya Birla Health Insurance Co Ltd</t>
  </si>
  <si>
    <t>Care Health Insurance Ltd</t>
  </si>
  <si>
    <t>Galaxy Health Insurance Company Ltd</t>
  </si>
  <si>
    <t>ManipalCigna Health Insurance Co Ltd</t>
  </si>
  <si>
    <t>Narayana Health Insurance Ltd</t>
  </si>
  <si>
    <t>Star Health &amp; Allied Insurance Co Ltd</t>
  </si>
  <si>
    <t>Stand-alone Health sub Total</t>
  </si>
  <si>
    <t>Industry Total</t>
  </si>
  <si>
    <t>% Market Share</t>
  </si>
  <si>
    <t>Previous Year Market Share</t>
  </si>
  <si>
    <t>Workmen's compensation/Employers' liability</t>
  </si>
  <si>
    <t>Public Liability (Act)</t>
  </si>
  <si>
    <t>Product Liability</t>
  </si>
  <si>
    <t>Other liability covers</t>
  </si>
  <si>
    <t>Crop Insurance</t>
  </si>
  <si>
    <t>Credit Guarantee</t>
  </si>
  <si>
    <t>All Other miscellaneous</t>
  </si>
  <si>
    <t>Specialised Insurers</t>
  </si>
  <si>
    <t>Agriculture Insurance Co Of India Ltd</t>
  </si>
  <si>
    <t>ECGC Ltd</t>
  </si>
  <si>
    <t>Specialised sub Total</t>
  </si>
  <si>
    <t>Fire</t>
  </si>
  <si>
    <t>Marine Total</t>
  </si>
  <si>
    <t>Marine  Cargo</t>
  </si>
  <si>
    <t>Marine  Hull</t>
  </si>
  <si>
    <t>Engineering</t>
  </si>
  <si>
    <t>Motor Total</t>
  </si>
  <si>
    <t>Motor OD</t>
  </si>
  <si>
    <t>Motor TP</t>
  </si>
  <si>
    <t xml:space="preserve">Health </t>
  </si>
  <si>
    <t xml:space="preserve">Aviation </t>
  </si>
  <si>
    <t>Liability</t>
  </si>
  <si>
    <t>P.A.</t>
  </si>
  <si>
    <t>All Other Misc (Crop Insurance + Credit Guarantee+All other misc)</t>
  </si>
  <si>
    <t>Niva bupa health insurance company limited</t>
  </si>
  <si>
    <t>GROSS DIRECT PREMIUM INCOME UNDERWRITTEN BY NON-LIFE INSURERS WITHIN INDIA  (SEGMENT WISE) : FOR THE PERIOD UPTO MAY  2025 (PROVISIONAL &amp; UNAUDITED ) IN FY 2025-26  (Rs. In Crs.)</t>
  </si>
  <si>
    <t>GROSS DIRECT PREMIUM INCOME UNDERWRITTEN BY NON-LIFE INSURERS WITHIN INDIA  (SEGMENT WISE) : FOR THE PERIOD UPTO MAY 2025 (PROVISIONAL &amp; UNAUDITED ) IN FY 2025-26  (Rs. In Crs.)</t>
  </si>
  <si>
    <t>Zurich Kotak Mahindra General Insurance Co Ltd</t>
  </si>
  <si>
    <t>“IRDAI has recently revised the formats for reporting and they have excluded premium from long term policies from reporting of premiums with effect from October 1, 2024. It is assumed that all companies have deducted the long term premiums accordingly for the current year only following IRDAI formats. Therefore the growth rates reported for the current year cannot be compared with the previous year's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</si>
</sst>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 #,##0.00_ ;_ * \-#,##0.00_ ;_ * &quot;-&quot;??_ ;_ @_ "/>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1"/>
      <color theme="4"/>
      <name val="Calibri"/>
      <family val="2"/>
      <scheme val="minor"/>
    </font>
    <font>
      <b/>
      <sz val="12"/>
      <color theme="4"/>
      <name val="Calibri"/>
      <family val="2"/>
      <scheme val="minor"/>
    </font>
    <font>
      <b/>
      <sz val="10"/>
      <color theme="1"/>
      <name val="Calibri"/>
      <family val="2"/>
      <scheme val="minor"/>
    </font>
    <font>
      <sz val="10"/>
      <color theme="1"/>
      <name val="Calibri"/>
      <family val="2"/>
      <scheme val="minor"/>
    </font>
    <font>
      <b/>
      <sz val="11"/>
      <color theme="1"/>
      <name val="Aptos"/>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0" borderId="1" xfId="0" applyBorder="1"/>
    <xf numFmtId="0" fontId="2" fillId="0" borderId="1" xfId="0" applyFont="1" applyBorder="1" applyAlignment="1">
      <alignment vertical="top" wrapText="1"/>
    </xf>
    <xf numFmtId="0" fontId="2" fillId="0" borderId="1" xfId="0" applyFont="1" applyBorder="1"/>
    <xf numFmtId="43" fontId="0" fillId="0" borderId="1" xfId="1" applyFont="1" applyBorder="1"/>
    <xf numFmtId="43" fontId="2" fillId="0" borderId="1" xfId="1" applyFont="1" applyBorder="1"/>
    <xf numFmtId="10" fontId="1" fillId="0" borderId="1" xfId="2" applyNumberFormat="1" applyFont="1" applyBorder="1"/>
    <xf numFmtId="164" fontId="2" fillId="0" borderId="1" xfId="0" applyNumberFormat="1" applyFont="1" applyBorder="1"/>
    <xf numFmtId="10" fontId="0" fillId="0" borderId="1" xfId="2" applyNumberFormat="1" applyFont="1" applyBorder="1"/>
    <xf numFmtId="10" fontId="2" fillId="0" borderId="1" xfId="2" applyNumberFormat="1" applyFont="1" applyBorder="1"/>
    <xf numFmtId="164" fontId="0" fillId="0" borderId="1" xfId="0" applyNumberFormat="1" applyBorder="1"/>
    <xf numFmtId="0" fontId="0" fillId="0" borderId="0" xfId="0" applyAlignment="1">
      <alignment horizontal="left"/>
    </xf>
    <xf numFmtId="43" fontId="1" fillId="0" borderId="1" xfId="1" applyFont="1" applyBorder="1"/>
    <xf numFmtId="43" fontId="2" fillId="0" borderId="1" xfId="0" applyNumberFormat="1" applyFont="1" applyBorder="1"/>
    <xf numFmtId="43" fontId="5" fillId="0" borderId="1" xfId="1" applyFont="1" applyBorder="1"/>
    <xf numFmtId="43" fontId="6" fillId="0" borderId="1" xfId="1" applyFont="1" applyBorder="1"/>
    <xf numFmtId="0" fontId="3" fillId="0" borderId="2" xfId="0" applyFont="1" applyBorder="1" applyAlignment="1">
      <alignment horizontal="center" vertical="center" wrapText="1"/>
    </xf>
    <xf numFmtId="0" fontId="7" fillId="0" borderId="0" xfId="0" applyFont="1" applyAlignment="1">
      <alignment horizontal="left" vertical="top" wrapText="1"/>
    </xf>
    <xf numFmtId="0" fontId="7" fillId="0" borderId="3" xfId="0" applyFont="1" applyBorder="1" applyAlignment="1">
      <alignment horizontal="left" vertical="top" wrapText="1"/>
    </xf>
    <xf numFmtId="0" fontId="4" fillId="0" borderId="2" xfId="0" applyFont="1" applyBorder="1" applyAlignment="1">
      <alignment horizontal="left" vertical="center"/>
    </xf>
    <xf numFmtId="0" fontId="7" fillId="0" borderId="3" xfId="0" applyFont="1" applyBorder="1" applyAlignment="1">
      <alignment horizontal="center" vertical="top" wrapText="1"/>
    </xf>
    <xf numFmtId="0" fontId="7" fillId="0" borderId="0" xfId="0" applyFont="1" applyAlignment="1">
      <alignment horizontal="center" vertical="top" wrapText="1"/>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2"/>
  <sheetViews>
    <sheetView topLeftCell="A69" workbookViewId="0">
      <selection activeCell="M6" sqref="M6"/>
    </sheetView>
  </sheetViews>
  <sheetFormatPr defaultRowHeight="14.4" x14ac:dyDescent="0.3"/>
  <cols>
    <col min="1" max="1" width="39.6640625" customWidth="1"/>
    <col min="2" max="2" width="11.6640625" bestFit="1" customWidth="1"/>
    <col min="3" max="3" width="12" bestFit="1" customWidth="1"/>
    <col min="4" max="4" width="12.6640625" customWidth="1"/>
    <col min="5" max="5" width="12.33203125" customWidth="1"/>
    <col min="6" max="6" width="10.44140625" bestFit="1" customWidth="1"/>
    <col min="9" max="9" width="9.44140625" bestFit="1" customWidth="1"/>
  </cols>
  <sheetData>
    <row r="2" spans="1:9" ht="51.6" customHeight="1" x14ac:dyDescent="0.3">
      <c r="A2" s="16" t="s">
        <v>73</v>
      </c>
      <c r="B2" s="16"/>
      <c r="C2" s="16"/>
      <c r="D2" s="16"/>
      <c r="E2" s="16"/>
      <c r="F2" s="16"/>
      <c r="G2" s="16"/>
      <c r="H2" s="16"/>
      <c r="I2" s="16"/>
    </row>
    <row r="3" spans="1:9" ht="34.799999999999997" customHeight="1" x14ac:dyDescent="0.3">
      <c r="A3" s="2"/>
      <c r="B3" s="2" t="s">
        <v>0</v>
      </c>
      <c r="C3" s="2" t="s">
        <v>1</v>
      </c>
      <c r="D3" s="2" t="s">
        <v>2</v>
      </c>
      <c r="E3" s="2" t="s">
        <v>3</v>
      </c>
      <c r="F3" s="2" t="s">
        <v>4</v>
      </c>
      <c r="G3" s="2" t="s">
        <v>5</v>
      </c>
      <c r="H3" s="2" t="s">
        <v>6</v>
      </c>
      <c r="I3" s="2" t="s">
        <v>7</v>
      </c>
    </row>
    <row r="4" spans="1:9" x14ac:dyDescent="0.3">
      <c r="A4" s="3" t="s">
        <v>8</v>
      </c>
      <c r="B4" s="1"/>
      <c r="C4" s="1"/>
      <c r="D4" s="1"/>
      <c r="E4" s="1"/>
      <c r="F4" s="1"/>
      <c r="G4" s="1"/>
      <c r="H4" s="1"/>
      <c r="I4" s="1"/>
    </row>
    <row r="5" spans="1:9" x14ac:dyDescent="0.3">
      <c r="A5" s="1" t="s">
        <v>9</v>
      </c>
      <c r="B5" s="1">
        <v>20.56</v>
      </c>
      <c r="C5" s="1">
        <v>166</v>
      </c>
      <c r="D5" s="4">
        <v>0</v>
      </c>
      <c r="E5" s="1">
        <v>7.61</v>
      </c>
      <c r="F5" s="1">
        <v>194.17</v>
      </c>
      <c r="G5" s="8">
        <f>(F5-F6)/F6</f>
        <v>2.7571972904318266E-2</v>
      </c>
      <c r="H5" s="8">
        <f>F5/$F$76</f>
        <v>8.4385196671354495E-3</v>
      </c>
      <c r="I5" s="1">
        <v>5.21</v>
      </c>
    </row>
    <row r="6" spans="1:9" x14ac:dyDescent="0.3">
      <c r="A6" s="1" t="s">
        <v>10</v>
      </c>
      <c r="B6" s="1">
        <v>13.5</v>
      </c>
      <c r="C6" s="1">
        <v>169.26</v>
      </c>
      <c r="D6" s="4">
        <v>0</v>
      </c>
      <c r="E6" s="1">
        <v>6.2</v>
      </c>
      <c r="F6" s="1">
        <v>188.96</v>
      </c>
      <c r="G6" s="1"/>
      <c r="H6" s="1"/>
      <c r="I6" s="1"/>
    </row>
    <row r="7" spans="1:9" x14ac:dyDescent="0.3">
      <c r="A7" s="1" t="s">
        <v>11</v>
      </c>
      <c r="B7" s="1">
        <v>167.31</v>
      </c>
      <c r="C7" s="1">
        <v>723.9</v>
      </c>
      <c r="D7" s="1">
        <v>5.91</v>
      </c>
      <c r="E7" s="1">
        <v>41.38</v>
      </c>
      <c r="F7" s="1">
        <v>938.5</v>
      </c>
      <c r="G7" s="8">
        <f>(F7-F8)/F8</f>
        <v>-5.4655707321004061E-2</v>
      </c>
      <c r="H7" s="8">
        <f>F7/$F$76</f>
        <v>4.0786685417966831E-2</v>
      </c>
      <c r="I7" s="1">
        <v>-54.26</v>
      </c>
    </row>
    <row r="8" spans="1:9" x14ac:dyDescent="0.3">
      <c r="A8" s="1" t="s">
        <v>10</v>
      </c>
      <c r="B8" s="1">
        <v>145.78</v>
      </c>
      <c r="C8" s="1">
        <v>715.1</v>
      </c>
      <c r="D8" s="1">
        <v>85.55</v>
      </c>
      <c r="E8" s="1">
        <v>46.33</v>
      </c>
      <c r="F8" s="1">
        <v>992.76</v>
      </c>
      <c r="G8" s="1"/>
      <c r="H8" s="1"/>
      <c r="I8" s="1"/>
    </row>
    <row r="9" spans="1:9" x14ac:dyDescent="0.3">
      <c r="A9" s="1" t="s">
        <v>12</v>
      </c>
      <c r="B9" s="1">
        <v>56.48</v>
      </c>
      <c r="C9" s="1">
        <v>138.38999999999999</v>
      </c>
      <c r="D9" s="4">
        <v>0</v>
      </c>
      <c r="E9" s="1">
        <v>0.16</v>
      </c>
      <c r="F9" s="1">
        <v>195.03</v>
      </c>
      <c r="G9" s="8">
        <f>(F9-F10)/F10</f>
        <v>-6.8491187849262086E-2</v>
      </c>
      <c r="H9" s="8">
        <f>F9/$F$76</f>
        <v>8.4758947864316155E-3</v>
      </c>
      <c r="I9" s="1">
        <v>-14.34</v>
      </c>
    </row>
    <row r="10" spans="1:9" x14ac:dyDescent="0.3">
      <c r="A10" s="1" t="s">
        <v>10</v>
      </c>
      <c r="B10" s="1">
        <v>93.7</v>
      </c>
      <c r="C10" s="1">
        <v>115.47</v>
      </c>
      <c r="D10" s="4">
        <v>0</v>
      </c>
      <c r="E10" s="1">
        <v>0.2</v>
      </c>
      <c r="F10" s="1">
        <v>209.37</v>
      </c>
      <c r="G10" s="1"/>
      <c r="H10" s="1"/>
      <c r="I10" s="1"/>
    </row>
    <row r="11" spans="1:9" x14ac:dyDescent="0.3">
      <c r="A11" s="1" t="s">
        <v>13</v>
      </c>
      <c r="B11" s="1">
        <v>28.36</v>
      </c>
      <c r="C11" s="1">
        <v>273.18</v>
      </c>
      <c r="D11" s="4">
        <v>0</v>
      </c>
      <c r="E11" s="1">
        <v>1.62</v>
      </c>
      <c r="F11" s="1">
        <v>303.16000000000003</v>
      </c>
      <c r="G11" s="8">
        <f>(F11-F12)/F12</f>
        <v>-0.35200068399452794</v>
      </c>
      <c r="H11" s="8">
        <f>F11/$F$76</f>
        <v>1.3175164146308817E-2</v>
      </c>
      <c r="I11" s="1">
        <v>-164.68</v>
      </c>
    </row>
    <row r="12" spans="1:9" x14ac:dyDescent="0.3">
      <c r="A12" s="1" t="s">
        <v>10</v>
      </c>
      <c r="B12" s="1">
        <v>29.57</v>
      </c>
      <c r="C12" s="1">
        <v>405.68</v>
      </c>
      <c r="D12" s="1">
        <v>30.34</v>
      </c>
      <c r="E12" s="1">
        <v>2.25</v>
      </c>
      <c r="F12" s="1">
        <v>467.84</v>
      </c>
      <c r="G12" s="1"/>
      <c r="H12" s="1"/>
      <c r="I12" s="1"/>
    </row>
    <row r="13" spans="1:9" x14ac:dyDescent="0.3">
      <c r="A13" s="1" t="s">
        <v>14</v>
      </c>
      <c r="B13" s="1">
        <v>10.25</v>
      </c>
      <c r="C13" s="1">
        <v>245.65</v>
      </c>
      <c r="D13" s="4">
        <v>0</v>
      </c>
      <c r="E13" s="1">
        <v>1.97</v>
      </c>
      <c r="F13" s="1">
        <v>257.87</v>
      </c>
      <c r="G13" s="8">
        <f>(F13-F14)/F14</f>
        <v>-0.15720495473412432</v>
      </c>
      <c r="H13" s="8">
        <f>F13/$F$76</f>
        <v>1.1206886061514232E-2</v>
      </c>
      <c r="I13" s="1">
        <v>-48.1</v>
      </c>
    </row>
    <row r="14" spans="1:9" x14ac:dyDescent="0.3">
      <c r="A14" s="1" t="s">
        <v>10</v>
      </c>
      <c r="B14" s="1">
        <v>9.56</v>
      </c>
      <c r="C14" s="1">
        <v>295.02999999999997</v>
      </c>
      <c r="D14" s="4">
        <v>0</v>
      </c>
      <c r="E14" s="1">
        <v>1.38</v>
      </c>
      <c r="F14" s="1">
        <v>305.97000000000003</v>
      </c>
      <c r="G14" s="1"/>
      <c r="H14" s="1"/>
      <c r="I14" s="1"/>
    </row>
    <row r="15" spans="1:9" x14ac:dyDescent="0.3">
      <c r="A15" s="1" t="s">
        <v>15</v>
      </c>
      <c r="B15" s="1">
        <v>603.57000000000005</v>
      </c>
      <c r="C15" s="1">
        <v>408.28</v>
      </c>
      <c r="D15" s="4">
        <v>0</v>
      </c>
      <c r="E15" s="1">
        <v>11</v>
      </c>
      <c r="F15" s="1">
        <v>1022.85</v>
      </c>
      <c r="G15" s="8">
        <f>(F15-F16)/F16</f>
        <v>2.2993219050667101E-2</v>
      </c>
      <c r="H15" s="8">
        <f>F15/$F$76</f>
        <v>4.4452489269864011E-2</v>
      </c>
      <c r="I15" s="1">
        <v>22.99</v>
      </c>
    </row>
    <row r="16" spans="1:9" x14ac:dyDescent="0.3">
      <c r="A16" s="1" t="s">
        <v>10</v>
      </c>
      <c r="B16" s="1">
        <v>582.82000000000005</v>
      </c>
      <c r="C16" s="1">
        <v>410.45</v>
      </c>
      <c r="D16" s="4">
        <v>0</v>
      </c>
      <c r="E16" s="1">
        <v>6.59</v>
      </c>
      <c r="F16" s="1">
        <v>999.86</v>
      </c>
      <c r="G16" s="1"/>
      <c r="H16" s="1"/>
      <c r="I16" s="1"/>
    </row>
    <row r="17" spans="1:9" x14ac:dyDescent="0.3">
      <c r="A17" s="1" t="s">
        <v>16</v>
      </c>
      <c r="B17" s="1">
        <v>247.5</v>
      </c>
      <c r="C17" s="1">
        <v>1611.98</v>
      </c>
      <c r="D17" s="4">
        <v>0</v>
      </c>
      <c r="E17" s="1">
        <v>54.71</v>
      </c>
      <c r="F17" s="1">
        <v>1914.19</v>
      </c>
      <c r="G17" s="8">
        <f>(F17-F18)/F18</f>
        <v>3.8993676554400711E-2</v>
      </c>
      <c r="H17" s="8">
        <f>F17/$F$76</f>
        <v>8.3189627448287617E-2</v>
      </c>
      <c r="I17" s="1">
        <v>71.84</v>
      </c>
    </row>
    <row r="18" spans="1:9" x14ac:dyDescent="0.3">
      <c r="A18" s="1" t="s">
        <v>10</v>
      </c>
      <c r="B18" s="1">
        <v>186.36</v>
      </c>
      <c r="C18" s="1">
        <v>1610.87</v>
      </c>
      <c r="D18" s="4">
        <v>0</v>
      </c>
      <c r="E18" s="1">
        <v>45.12</v>
      </c>
      <c r="F18" s="1">
        <v>1842.35</v>
      </c>
      <c r="G18" s="1"/>
      <c r="H18" s="1"/>
      <c r="I18" s="1"/>
    </row>
    <row r="19" spans="1:9" x14ac:dyDescent="0.3">
      <c r="A19" s="1" t="s">
        <v>17</v>
      </c>
      <c r="B19" s="1">
        <v>42.28</v>
      </c>
      <c r="C19" s="1">
        <v>108.27</v>
      </c>
      <c r="D19" s="4">
        <v>0</v>
      </c>
      <c r="E19" s="1">
        <v>0.41</v>
      </c>
      <c r="F19" s="1">
        <v>150.96</v>
      </c>
      <c r="G19" s="8">
        <f>(F19-F20)/F20</f>
        <v>4.3912175648702367E-3</v>
      </c>
      <c r="H19" s="8">
        <f>F19/$F$76</f>
        <v>6.560637219708336E-3</v>
      </c>
      <c r="I19" s="1">
        <v>0.66</v>
      </c>
    </row>
    <row r="20" spans="1:9" x14ac:dyDescent="0.3">
      <c r="A20" s="1" t="s">
        <v>10</v>
      </c>
      <c r="B20" s="1">
        <v>37.96</v>
      </c>
      <c r="C20" s="1">
        <v>111.85</v>
      </c>
      <c r="D20" s="4">
        <v>0</v>
      </c>
      <c r="E20" s="1">
        <v>0.49</v>
      </c>
      <c r="F20" s="1">
        <v>150.30000000000001</v>
      </c>
      <c r="G20" s="1"/>
      <c r="H20" s="1"/>
      <c r="I20" s="1"/>
    </row>
    <row r="21" spans="1:9" x14ac:dyDescent="0.3">
      <c r="A21" s="1" t="s">
        <v>75</v>
      </c>
      <c r="B21" s="1">
        <v>8.85</v>
      </c>
      <c r="C21" s="1">
        <v>215.77</v>
      </c>
      <c r="D21" s="4">
        <v>0</v>
      </c>
      <c r="E21" s="1">
        <v>0.22</v>
      </c>
      <c r="F21" s="1">
        <v>224.84</v>
      </c>
      <c r="G21" s="8">
        <f>(F21-F22)/F22</f>
        <v>1.1235360785795241</v>
      </c>
      <c r="H21" s="8">
        <f>F21/$F$76</f>
        <v>9.7714207238952175E-3</v>
      </c>
      <c r="I21" s="1">
        <v>118.96</v>
      </c>
    </row>
    <row r="22" spans="1:9" x14ac:dyDescent="0.3">
      <c r="A22" s="1" t="s">
        <v>10</v>
      </c>
      <c r="B22" s="1">
        <v>12.17</v>
      </c>
      <c r="C22" s="1">
        <v>93.71</v>
      </c>
      <c r="D22" s="4">
        <v>0</v>
      </c>
      <c r="E22" s="4">
        <v>0</v>
      </c>
      <c r="F22" s="1">
        <v>105.88</v>
      </c>
      <c r="G22" s="1"/>
      <c r="H22" s="1"/>
      <c r="I22" s="1"/>
    </row>
    <row r="23" spans="1:9" x14ac:dyDescent="0.3">
      <c r="A23" s="1" t="s">
        <v>18</v>
      </c>
      <c r="B23" s="4">
        <v>0</v>
      </c>
      <c r="C23" s="4">
        <v>0</v>
      </c>
      <c r="D23" s="4">
        <v>0</v>
      </c>
      <c r="E23" s="4">
        <v>0</v>
      </c>
      <c r="F23" s="4">
        <v>0</v>
      </c>
      <c r="G23" s="4">
        <v>0</v>
      </c>
      <c r="H23" s="4">
        <v>0</v>
      </c>
      <c r="I23" s="4">
        <v>0</v>
      </c>
    </row>
    <row r="24" spans="1:9" x14ac:dyDescent="0.3">
      <c r="A24" s="1" t="s">
        <v>10</v>
      </c>
      <c r="B24" s="4">
        <v>0</v>
      </c>
      <c r="C24" s="4">
        <v>0</v>
      </c>
      <c r="D24" s="4">
        <v>0</v>
      </c>
      <c r="E24" s="4">
        <v>0</v>
      </c>
      <c r="F24" s="4">
        <v>0</v>
      </c>
      <c r="G24" s="4"/>
      <c r="H24" s="4"/>
      <c r="I24" s="4"/>
    </row>
    <row r="25" spans="1:9" x14ac:dyDescent="0.3">
      <c r="A25" s="1" t="s">
        <v>19</v>
      </c>
      <c r="B25" s="1">
        <v>9.3699999999999992</v>
      </c>
      <c r="C25" s="1">
        <v>106.94</v>
      </c>
      <c r="D25" s="4">
        <v>0</v>
      </c>
      <c r="E25" s="1">
        <v>3.04</v>
      </c>
      <c r="F25" s="1">
        <v>119.35</v>
      </c>
      <c r="G25" s="8">
        <f>(F25-F26)/F26</f>
        <v>1.0075693860386878</v>
      </c>
      <c r="H25" s="8">
        <f>F25/$F$76</f>
        <v>5.1868842883690371E-3</v>
      </c>
      <c r="I25" s="1">
        <v>59.9</v>
      </c>
    </row>
    <row r="26" spans="1:9" x14ac:dyDescent="0.3">
      <c r="A26" s="1" t="s">
        <v>10</v>
      </c>
      <c r="B26" s="1">
        <v>9.68</v>
      </c>
      <c r="C26" s="1">
        <v>46.37</v>
      </c>
      <c r="D26" s="4">
        <v>0</v>
      </c>
      <c r="E26" s="1">
        <v>3.4</v>
      </c>
      <c r="F26" s="1">
        <v>59.45</v>
      </c>
      <c r="G26" s="1"/>
      <c r="H26" s="1"/>
      <c r="I26" s="1"/>
    </row>
    <row r="27" spans="1:9" x14ac:dyDescent="0.3">
      <c r="A27" s="1" t="s">
        <v>20</v>
      </c>
      <c r="B27" s="1">
        <v>7.3</v>
      </c>
      <c r="C27" s="1">
        <v>167.12</v>
      </c>
      <c r="D27" s="4">
        <v>0</v>
      </c>
      <c r="E27" s="4">
        <v>0</v>
      </c>
      <c r="F27" s="1">
        <v>174.42</v>
      </c>
      <c r="G27" s="8">
        <f>(F27-F28)/F28</f>
        <v>6.9536423841059444E-2</v>
      </c>
      <c r="H27" s="8">
        <f>F27/$F$76</f>
        <v>7.5801957065549002E-3</v>
      </c>
      <c r="I27" s="1">
        <v>11.34</v>
      </c>
    </row>
    <row r="28" spans="1:9" x14ac:dyDescent="0.3">
      <c r="A28" s="1" t="s">
        <v>10</v>
      </c>
      <c r="B28" s="1">
        <v>6.45</v>
      </c>
      <c r="C28" s="1">
        <v>156.63</v>
      </c>
      <c r="D28" s="4">
        <v>0</v>
      </c>
      <c r="E28" s="4">
        <v>0</v>
      </c>
      <c r="F28" s="1">
        <v>163.08000000000001</v>
      </c>
      <c r="G28" s="1"/>
      <c r="H28" s="1"/>
      <c r="I28" s="1"/>
    </row>
    <row r="29" spans="1:9" x14ac:dyDescent="0.3">
      <c r="A29" s="1" t="s">
        <v>21</v>
      </c>
      <c r="B29" s="1">
        <v>387.59</v>
      </c>
      <c r="C29" s="1">
        <v>580.67999999999995</v>
      </c>
      <c r="D29" s="4">
        <v>0</v>
      </c>
      <c r="E29" s="1">
        <v>1.07</v>
      </c>
      <c r="F29" s="1">
        <v>969.34</v>
      </c>
      <c r="G29" s="8">
        <f>(F29-F30)/F30</f>
        <v>-1.2389200203769707E-2</v>
      </c>
      <c r="H29" s="8">
        <f>F29/$F$76</f>
        <v>4.2126974579703748E-2</v>
      </c>
      <c r="I29" s="1">
        <v>-12.16</v>
      </c>
    </row>
    <row r="30" spans="1:9" x14ac:dyDescent="0.3">
      <c r="A30" s="1" t="s">
        <v>10</v>
      </c>
      <c r="B30" s="1">
        <v>361.69</v>
      </c>
      <c r="C30" s="1">
        <v>544.84</v>
      </c>
      <c r="D30" s="1">
        <v>74.239999999999995</v>
      </c>
      <c r="E30" s="1">
        <v>0.73</v>
      </c>
      <c r="F30" s="1">
        <v>981.5</v>
      </c>
      <c r="G30" s="1"/>
      <c r="H30" s="1"/>
      <c r="I30" s="1"/>
    </row>
    <row r="31" spans="1:9" x14ac:dyDescent="0.3">
      <c r="A31" s="1" t="s">
        <v>22</v>
      </c>
      <c r="B31" s="1">
        <v>9.84</v>
      </c>
      <c r="C31" s="1">
        <v>17.79</v>
      </c>
      <c r="D31" s="4">
        <v>0</v>
      </c>
      <c r="E31" s="4">
        <v>0</v>
      </c>
      <c r="F31" s="1">
        <v>27.63</v>
      </c>
      <c r="G31" s="8">
        <f>(F31-F32)/F32</f>
        <v>2.4111111111111114</v>
      </c>
      <c r="H31" s="8">
        <f>F31/$F$76</f>
        <v>1.200784355991927E-3</v>
      </c>
      <c r="I31" s="1">
        <v>19.53</v>
      </c>
    </row>
    <row r="32" spans="1:9" x14ac:dyDescent="0.3">
      <c r="A32" s="1" t="s">
        <v>10</v>
      </c>
      <c r="B32" s="1">
        <v>8.1199999999999992</v>
      </c>
      <c r="C32" s="1">
        <v>-0.02</v>
      </c>
      <c r="D32" s="4">
        <v>0</v>
      </c>
      <c r="E32" s="4">
        <v>0</v>
      </c>
      <c r="F32" s="1">
        <v>8.1</v>
      </c>
      <c r="G32" s="1"/>
      <c r="H32" s="1"/>
      <c r="I32" s="1"/>
    </row>
    <row r="33" spans="1:9" x14ac:dyDescent="0.3">
      <c r="A33" s="1" t="s">
        <v>23</v>
      </c>
      <c r="B33" s="1">
        <v>0.28999999999999998</v>
      </c>
      <c r="C33" s="1">
        <v>0.85</v>
      </c>
      <c r="D33" s="4">
        <v>0</v>
      </c>
      <c r="E33" s="4">
        <v>0</v>
      </c>
      <c r="F33" s="1">
        <v>1.1399999999999999</v>
      </c>
      <c r="G33" s="8">
        <f>(F33-F34)/F34</f>
        <v>-0.85496183206106879</v>
      </c>
      <c r="H33" s="4">
        <v>0</v>
      </c>
      <c r="I33" s="1">
        <v>-6.72</v>
      </c>
    </row>
    <row r="34" spans="1:9" x14ac:dyDescent="0.3">
      <c r="A34" s="1" t="s">
        <v>10</v>
      </c>
      <c r="B34" s="1">
        <v>0.45</v>
      </c>
      <c r="C34" s="1">
        <v>7.41</v>
      </c>
      <c r="D34" s="4">
        <v>0</v>
      </c>
      <c r="E34" s="4">
        <v>0</v>
      </c>
      <c r="F34" s="1">
        <v>7.86</v>
      </c>
      <c r="G34" s="1"/>
      <c r="H34" s="1"/>
      <c r="I34" s="1"/>
    </row>
    <row r="35" spans="1:9" x14ac:dyDescent="0.3">
      <c r="A35" s="1" t="s">
        <v>24</v>
      </c>
      <c r="B35" s="1">
        <v>62.35</v>
      </c>
      <c r="C35" s="1">
        <v>510.43</v>
      </c>
      <c r="D35" s="1">
        <v>150.74</v>
      </c>
      <c r="E35" s="1">
        <v>31.52</v>
      </c>
      <c r="F35" s="1">
        <v>755.04</v>
      </c>
      <c r="G35" s="8">
        <f>(F35-F36)/F36</f>
        <v>0.47806510972339133</v>
      </c>
      <c r="H35" s="8">
        <f>F35/$F$76</f>
        <v>3.2813616364391771E-2</v>
      </c>
      <c r="I35" s="1">
        <v>244.21</v>
      </c>
    </row>
    <row r="36" spans="1:9" x14ac:dyDescent="0.3">
      <c r="A36" s="1" t="s">
        <v>10</v>
      </c>
      <c r="B36" s="1">
        <v>63.17</v>
      </c>
      <c r="C36" s="1">
        <v>425.24</v>
      </c>
      <c r="D36" s="4">
        <v>0</v>
      </c>
      <c r="E36" s="1">
        <v>22.42</v>
      </c>
      <c r="F36" s="1">
        <v>510.83</v>
      </c>
      <c r="G36" s="1"/>
      <c r="H36" s="1"/>
      <c r="I36" s="1"/>
    </row>
    <row r="37" spans="1:9" x14ac:dyDescent="0.3">
      <c r="A37" s="1" t="s">
        <v>25</v>
      </c>
      <c r="B37" s="1">
        <v>24.69</v>
      </c>
      <c r="C37" s="1">
        <v>253.4</v>
      </c>
      <c r="D37" s="4">
        <v>0</v>
      </c>
      <c r="E37" s="1">
        <v>0.45</v>
      </c>
      <c r="F37" s="1">
        <v>278.54000000000002</v>
      </c>
      <c r="G37" s="8">
        <f>(F37-F38)/F38</f>
        <v>0.63127379209370438</v>
      </c>
      <c r="H37" s="8">
        <f>F37/$F$76</f>
        <v>1.2105192707853469E-2</v>
      </c>
      <c r="I37" s="1">
        <v>107.79</v>
      </c>
    </row>
    <row r="38" spans="1:9" x14ac:dyDescent="0.3">
      <c r="A38" s="1" t="s">
        <v>10</v>
      </c>
      <c r="B38" s="1">
        <v>29.03</v>
      </c>
      <c r="C38" s="1">
        <v>140.76</v>
      </c>
      <c r="D38" s="4">
        <v>0</v>
      </c>
      <c r="E38" s="1">
        <v>0.96</v>
      </c>
      <c r="F38" s="1">
        <v>170.75</v>
      </c>
      <c r="G38" s="1"/>
      <c r="H38" s="1"/>
      <c r="I38" s="1"/>
    </row>
    <row r="39" spans="1:9" x14ac:dyDescent="0.3">
      <c r="A39" s="1" t="s">
        <v>26</v>
      </c>
      <c r="B39" s="1">
        <v>46.28</v>
      </c>
      <c r="C39" s="1">
        <v>580.39</v>
      </c>
      <c r="D39" s="4">
        <v>0</v>
      </c>
      <c r="E39" s="1">
        <v>0.24</v>
      </c>
      <c r="F39" s="1">
        <v>626.91</v>
      </c>
      <c r="G39" s="8">
        <f>(F39-F40)/F40</f>
        <v>0.58566875758802095</v>
      </c>
      <c r="H39" s="8">
        <f>F39/$F$76</f>
        <v>2.7245158183673505E-2</v>
      </c>
      <c r="I39" s="1">
        <v>231.55</v>
      </c>
    </row>
    <row r="40" spans="1:9" x14ac:dyDescent="0.3">
      <c r="A40" s="1" t="s">
        <v>10</v>
      </c>
      <c r="B40" s="1">
        <v>63.84</v>
      </c>
      <c r="C40" s="1">
        <v>331.24</v>
      </c>
      <c r="D40" s="4">
        <v>0</v>
      </c>
      <c r="E40" s="1">
        <v>0.28000000000000003</v>
      </c>
      <c r="F40" s="1">
        <v>395.36</v>
      </c>
      <c r="G40" s="1"/>
      <c r="H40" s="1"/>
      <c r="I40" s="1"/>
    </row>
    <row r="41" spans="1:9" x14ac:dyDescent="0.3">
      <c r="A41" s="1" t="s">
        <v>27</v>
      </c>
      <c r="B41" s="1">
        <v>1.23</v>
      </c>
      <c r="C41" s="1">
        <v>0.2</v>
      </c>
      <c r="D41" s="4">
        <v>0</v>
      </c>
      <c r="E41" s="4">
        <v>0</v>
      </c>
      <c r="F41" s="1">
        <v>1.43</v>
      </c>
      <c r="G41" s="8">
        <f>(F41-F42)/F42</f>
        <v>2.1777777777777776</v>
      </c>
      <c r="H41" s="8">
        <f>F41/$F$76</f>
        <v>6.2147000690135923E-5</v>
      </c>
      <c r="I41" s="1">
        <v>0.98</v>
      </c>
    </row>
    <row r="42" spans="1:9" x14ac:dyDescent="0.3">
      <c r="A42" s="1" t="s">
        <v>10</v>
      </c>
      <c r="B42" s="1">
        <v>0.45</v>
      </c>
      <c r="C42" s="4">
        <v>0</v>
      </c>
      <c r="D42" s="4">
        <v>0</v>
      </c>
      <c r="E42" s="4">
        <v>0</v>
      </c>
      <c r="F42" s="1">
        <v>0.45</v>
      </c>
      <c r="G42" s="1"/>
      <c r="H42" s="1"/>
      <c r="I42" s="1"/>
    </row>
    <row r="43" spans="1:9" x14ac:dyDescent="0.3">
      <c r="A43" s="1" t="s">
        <v>28</v>
      </c>
      <c r="B43" s="1">
        <v>180.79</v>
      </c>
      <c r="C43" s="1">
        <v>454.08</v>
      </c>
      <c r="D43" s="1">
        <v>10.76</v>
      </c>
      <c r="E43" s="1">
        <v>77.94</v>
      </c>
      <c r="F43" s="1">
        <v>723.57</v>
      </c>
      <c r="G43" s="8">
        <f>(F43-F44)/F44</f>
        <v>0.49630870401389676</v>
      </c>
      <c r="H43" s="8">
        <f>F43/$F$76</f>
        <v>3.1445947754798358E-2</v>
      </c>
      <c r="I43" s="1">
        <v>240</v>
      </c>
    </row>
    <row r="44" spans="1:9" x14ac:dyDescent="0.3">
      <c r="A44" s="1" t="s">
        <v>10</v>
      </c>
      <c r="B44" s="1">
        <v>140.55000000000001</v>
      </c>
      <c r="C44" s="1">
        <v>265.60000000000002</v>
      </c>
      <c r="D44" s="4">
        <v>0</v>
      </c>
      <c r="E44" s="1">
        <v>77.42</v>
      </c>
      <c r="F44" s="1">
        <v>483.57</v>
      </c>
      <c r="G44" s="1"/>
      <c r="H44" s="1"/>
      <c r="I44" s="1"/>
    </row>
    <row r="45" spans="1:9" x14ac:dyDescent="0.3">
      <c r="A45" s="1" t="s">
        <v>29</v>
      </c>
      <c r="B45" s="1">
        <v>538.26</v>
      </c>
      <c r="C45" s="1">
        <v>3428.76</v>
      </c>
      <c r="D45" s="1">
        <v>810.95</v>
      </c>
      <c r="E45" s="1">
        <v>1.71</v>
      </c>
      <c r="F45" s="1">
        <v>4779.68</v>
      </c>
      <c r="G45" s="8">
        <f>(F45-F46)/F46</f>
        <v>0.14191788152883905</v>
      </c>
      <c r="H45" s="8">
        <f>F45/$F$76</f>
        <v>0.20772222115988034</v>
      </c>
      <c r="I45" s="1">
        <v>594.02</v>
      </c>
    </row>
    <row r="46" spans="1:9" x14ac:dyDescent="0.3">
      <c r="A46" s="1" t="s">
        <v>10</v>
      </c>
      <c r="B46" s="1">
        <v>498.6</v>
      </c>
      <c r="C46" s="1">
        <v>3030.91</v>
      </c>
      <c r="D46" s="1">
        <v>654.23</v>
      </c>
      <c r="E46" s="1">
        <v>1.92</v>
      </c>
      <c r="F46" s="1">
        <v>4185.66</v>
      </c>
      <c r="G46" s="1"/>
      <c r="H46" s="1"/>
      <c r="I46" s="1"/>
    </row>
    <row r="47" spans="1:9" x14ac:dyDescent="0.3">
      <c r="A47" s="1" t="s">
        <v>30</v>
      </c>
      <c r="B47" s="1">
        <v>300.19</v>
      </c>
      <c r="C47" s="1">
        <v>1543.66</v>
      </c>
      <c r="D47" s="1">
        <v>2.34</v>
      </c>
      <c r="E47" s="1">
        <v>0.78</v>
      </c>
      <c r="F47" s="1">
        <v>1846.97</v>
      </c>
      <c r="G47" s="8">
        <f>(F47-F48)/F48</f>
        <v>0.20893988584594442</v>
      </c>
      <c r="H47" s="8">
        <f>F47/$F$76</f>
        <v>8.02682838214408E-2</v>
      </c>
      <c r="I47" s="1">
        <v>319.20999999999998</v>
      </c>
    </row>
    <row r="48" spans="1:9" x14ac:dyDescent="0.3">
      <c r="A48" s="1" t="s">
        <v>10</v>
      </c>
      <c r="B48" s="1">
        <v>279.32</v>
      </c>
      <c r="C48" s="1">
        <v>1247.3699999999999</v>
      </c>
      <c r="D48" s="1">
        <v>0.08</v>
      </c>
      <c r="E48" s="1">
        <v>0.99</v>
      </c>
      <c r="F48" s="1">
        <v>1527.76</v>
      </c>
      <c r="G48" s="1"/>
      <c r="H48" s="1"/>
      <c r="I48" s="1"/>
    </row>
    <row r="49" spans="1:9" x14ac:dyDescent="0.3">
      <c r="A49" s="1" t="s">
        <v>31</v>
      </c>
      <c r="B49" s="1">
        <v>275.95</v>
      </c>
      <c r="C49" s="1">
        <v>1095.6099999999999</v>
      </c>
      <c r="D49" s="1">
        <v>70</v>
      </c>
      <c r="E49" s="1">
        <v>1.1100000000000001</v>
      </c>
      <c r="F49" s="1">
        <v>1442.67</v>
      </c>
      <c r="G49" s="8">
        <f>(F49-F50)/F50</f>
        <v>-0.18837587411603868</v>
      </c>
      <c r="H49" s="8">
        <f>F49/$F$76</f>
        <v>6.269763180813874E-2</v>
      </c>
      <c r="I49" s="1">
        <v>-334.84</v>
      </c>
    </row>
    <row r="50" spans="1:9" x14ac:dyDescent="0.3">
      <c r="A50" s="1" t="s">
        <v>10</v>
      </c>
      <c r="B50" s="1">
        <v>262.73</v>
      </c>
      <c r="C50" s="1">
        <v>1097.06</v>
      </c>
      <c r="D50" s="1">
        <v>416.38</v>
      </c>
      <c r="E50" s="1">
        <v>1.34</v>
      </c>
      <c r="F50" s="1">
        <v>1777.51</v>
      </c>
      <c r="G50" s="1"/>
      <c r="H50" s="1"/>
      <c r="I50" s="1"/>
    </row>
    <row r="51" spans="1:9" x14ac:dyDescent="0.3">
      <c r="A51" s="1" t="s">
        <v>32</v>
      </c>
      <c r="B51" s="1">
        <v>16.07</v>
      </c>
      <c r="C51" s="1">
        <v>262.26</v>
      </c>
      <c r="D51" s="1">
        <v>1.51</v>
      </c>
      <c r="E51" s="1">
        <v>3.37</v>
      </c>
      <c r="F51" s="1">
        <v>283.20999999999998</v>
      </c>
      <c r="G51" s="8">
        <f>(F51-F52)/F52</f>
        <v>1.7031593013267157</v>
      </c>
      <c r="H51" s="8">
        <f>F51/$F$76</f>
        <v>1.2308148297519856E-2</v>
      </c>
      <c r="I51" s="1">
        <v>178.44</v>
      </c>
    </row>
    <row r="52" spans="1:9" x14ac:dyDescent="0.3">
      <c r="A52" s="1" t="s">
        <v>10</v>
      </c>
      <c r="B52" s="1">
        <v>14.43</v>
      </c>
      <c r="C52" s="1">
        <v>86.68</v>
      </c>
      <c r="D52" s="1">
        <v>1.28</v>
      </c>
      <c r="E52" s="1">
        <v>2.38</v>
      </c>
      <c r="F52" s="1">
        <v>104.77</v>
      </c>
      <c r="G52" s="1"/>
      <c r="H52" s="1"/>
      <c r="I52" s="1"/>
    </row>
    <row r="53" spans="1:9" x14ac:dyDescent="0.3">
      <c r="A53" s="1" t="s">
        <v>33</v>
      </c>
      <c r="B53" s="1">
        <v>1.1299999999999999</v>
      </c>
      <c r="C53" s="1">
        <v>60.66</v>
      </c>
      <c r="D53" s="4">
        <v>0</v>
      </c>
      <c r="E53" s="1">
        <v>0.13</v>
      </c>
      <c r="F53" s="1">
        <v>61.92</v>
      </c>
      <c r="G53" s="8">
        <f>(F53-F54)/F54</f>
        <v>1.0279001468428823E-2</v>
      </c>
      <c r="H53" s="8">
        <f>F53/$F$76</f>
        <v>2.6910085893239277E-3</v>
      </c>
      <c r="I53" s="1">
        <v>0.63</v>
      </c>
    </row>
    <row r="54" spans="1:9" x14ac:dyDescent="0.3">
      <c r="A54" s="1" t="s">
        <v>10</v>
      </c>
      <c r="B54" s="1">
        <v>1.06</v>
      </c>
      <c r="C54" s="1">
        <v>59.64</v>
      </c>
      <c r="D54" s="4">
        <v>0</v>
      </c>
      <c r="E54" s="1">
        <v>0.59</v>
      </c>
      <c r="F54" s="1">
        <v>61.29</v>
      </c>
      <c r="G54" s="1"/>
      <c r="H54" s="1"/>
      <c r="I54" s="1"/>
    </row>
    <row r="55" spans="1:9" x14ac:dyDescent="0.3">
      <c r="A55" s="3" t="s">
        <v>34</v>
      </c>
      <c r="B55" s="5">
        <f t="shared" ref="B55:F56" si="0">SUM(B5+B7+B9+B11+B13+B15+B17+B19+B21+B23+B25+B27+B29+B31+B33+B35+B37+B39+B41+B43+B45+B47+B49+B51+B53)</f>
        <v>3046.49</v>
      </c>
      <c r="C55" s="5">
        <f t="shared" si="0"/>
        <v>12954.250000000002</v>
      </c>
      <c r="D55" s="5">
        <f t="shared" si="0"/>
        <v>1052.21</v>
      </c>
      <c r="E55" s="5">
        <f t="shared" si="0"/>
        <v>240.44</v>
      </c>
      <c r="F55" s="5">
        <f t="shared" si="0"/>
        <v>17293.39</v>
      </c>
      <c r="G55" s="9">
        <f>(F55-F56)/F56</f>
        <v>0.10140352061590066</v>
      </c>
      <c r="H55" s="9">
        <f>F55/$F$76</f>
        <v>0.75156106312223059</v>
      </c>
      <c r="I55" s="5">
        <f t="shared" ref="I55" si="1">SUM(I5+I7+I9+I11+I13+I15+I17+I19+I21+I23+I25+I27+I29+I31+I33+I35+I37+I39+I41+I43+I45+I47+I49+I51+I53)</f>
        <v>1592.1600000000003</v>
      </c>
    </row>
    <row r="56" spans="1:9" x14ac:dyDescent="0.3">
      <c r="A56" s="1" t="s">
        <v>35</v>
      </c>
      <c r="B56" s="4">
        <f t="shared" si="0"/>
        <v>2850.9900000000002</v>
      </c>
      <c r="C56" s="4">
        <f t="shared" si="0"/>
        <v>11367.149999999996</v>
      </c>
      <c r="D56" s="4">
        <f t="shared" si="0"/>
        <v>1262.1000000000001</v>
      </c>
      <c r="E56" s="4">
        <f t="shared" si="0"/>
        <v>220.99000000000004</v>
      </c>
      <c r="F56" s="4">
        <f t="shared" si="0"/>
        <v>15701.230000000001</v>
      </c>
      <c r="G56" s="1"/>
      <c r="H56" s="1"/>
      <c r="I56" s="1"/>
    </row>
    <row r="57" spans="1:9" x14ac:dyDescent="0.3">
      <c r="A57" s="1" t="s">
        <v>36</v>
      </c>
      <c r="B57" s="6">
        <f t="shared" ref="B57:F57" si="2">(B55-B56)/B56</f>
        <v>6.85726712475314E-2</v>
      </c>
      <c r="C57" s="6">
        <f t="shared" si="2"/>
        <v>0.13962162899231614</v>
      </c>
      <c r="D57" s="6">
        <f t="shared" si="2"/>
        <v>-0.16630219475477384</v>
      </c>
      <c r="E57" s="6">
        <f t="shared" si="2"/>
        <v>8.8013032263903154E-2</v>
      </c>
      <c r="F57" s="6">
        <f t="shared" si="2"/>
        <v>0.10140352061590066</v>
      </c>
      <c r="G57" s="1"/>
      <c r="H57" s="1"/>
      <c r="I57" s="1"/>
    </row>
    <row r="58" spans="1:9" x14ac:dyDescent="0.3">
      <c r="A58" s="3" t="s">
        <v>37</v>
      </c>
      <c r="B58" s="1"/>
      <c r="C58" s="1"/>
      <c r="D58" s="1"/>
      <c r="E58" s="1"/>
      <c r="F58" s="1"/>
      <c r="G58" s="1"/>
      <c r="H58" s="1"/>
      <c r="I58" s="1"/>
    </row>
    <row r="59" spans="1:9" x14ac:dyDescent="0.3">
      <c r="A59" s="1" t="s">
        <v>72</v>
      </c>
      <c r="B59" s="1">
        <v>697.81</v>
      </c>
      <c r="C59" s="1">
        <v>320</v>
      </c>
      <c r="D59" s="4">
        <v>0</v>
      </c>
      <c r="E59" s="1">
        <v>3.92</v>
      </c>
      <c r="F59" s="1">
        <v>1021.73</v>
      </c>
      <c r="G59" s="8">
        <f>(F59-F60)/F60</f>
        <v>9.6147450408213625E-2</v>
      </c>
      <c r="H59" s="8">
        <f>F59/$F$76</f>
        <v>4.4403814695896909E-2</v>
      </c>
      <c r="I59" s="1">
        <v>89.62</v>
      </c>
    </row>
    <row r="60" spans="1:9" x14ac:dyDescent="0.3">
      <c r="A60" s="1" t="s">
        <v>10</v>
      </c>
      <c r="B60" s="1">
        <v>634.03</v>
      </c>
      <c r="C60" s="1">
        <v>293.67</v>
      </c>
      <c r="D60" s="4">
        <v>0</v>
      </c>
      <c r="E60" s="1">
        <v>4.41</v>
      </c>
      <c r="F60" s="1">
        <v>932.11</v>
      </c>
      <c r="G60" s="1"/>
      <c r="H60" s="1"/>
      <c r="I60" s="1"/>
    </row>
    <row r="61" spans="1:9" x14ac:dyDescent="0.3">
      <c r="A61" s="1" t="s">
        <v>38</v>
      </c>
      <c r="B61" s="1">
        <v>236.1</v>
      </c>
      <c r="C61" s="1">
        <v>515.84</v>
      </c>
      <c r="D61" s="4">
        <v>0</v>
      </c>
      <c r="E61" s="1">
        <v>8.92</v>
      </c>
      <c r="F61" s="1">
        <v>760.86</v>
      </c>
      <c r="G61" s="8">
        <f>(F61-F62)/F62</f>
        <v>0.33294791611919916</v>
      </c>
      <c r="H61" s="8">
        <f>F61/$F$76</f>
        <v>3.3066550311256521E-2</v>
      </c>
      <c r="I61" s="1">
        <v>190.05</v>
      </c>
    </row>
    <row r="62" spans="1:9" x14ac:dyDescent="0.3">
      <c r="A62" s="1" t="s">
        <v>10</v>
      </c>
      <c r="B62" s="1">
        <v>204.21</v>
      </c>
      <c r="C62" s="1">
        <v>356.2</v>
      </c>
      <c r="D62" s="4">
        <v>0</v>
      </c>
      <c r="E62" s="1">
        <v>10.4</v>
      </c>
      <c r="F62" s="1">
        <v>570.80999999999995</v>
      </c>
      <c r="G62" s="1"/>
      <c r="H62" s="1"/>
      <c r="I62" s="1"/>
    </row>
    <row r="63" spans="1:9" x14ac:dyDescent="0.3">
      <c r="A63" s="1" t="s">
        <v>39</v>
      </c>
      <c r="B63" s="1">
        <v>783.16</v>
      </c>
      <c r="C63" s="1">
        <v>528.67999999999995</v>
      </c>
      <c r="D63" s="4">
        <v>0</v>
      </c>
      <c r="E63" s="1">
        <v>28.37</v>
      </c>
      <c r="F63" s="1">
        <v>1340.21</v>
      </c>
      <c r="G63" s="8">
        <f>(F63-F64)/F64</f>
        <v>7.1953609278144398E-2</v>
      </c>
      <c r="H63" s="8">
        <f>F63/$F$76</f>
        <v>5.8244777478969979E-2</v>
      </c>
      <c r="I63" s="1">
        <v>89.96</v>
      </c>
    </row>
    <row r="64" spans="1:9" x14ac:dyDescent="0.3">
      <c r="A64" s="1" t="s">
        <v>10</v>
      </c>
      <c r="B64" s="1">
        <v>692.32</v>
      </c>
      <c r="C64" s="1">
        <v>530.49</v>
      </c>
      <c r="D64" s="4">
        <v>0</v>
      </c>
      <c r="E64" s="1">
        <v>27.44</v>
      </c>
      <c r="F64" s="1">
        <v>1250.25</v>
      </c>
      <c r="G64" s="1"/>
      <c r="H64" s="1"/>
      <c r="I64" s="1"/>
    </row>
    <row r="65" spans="1:9" x14ac:dyDescent="0.3">
      <c r="A65" s="1" t="s">
        <v>40</v>
      </c>
      <c r="B65" s="1">
        <v>4.96</v>
      </c>
      <c r="C65" s="1">
        <v>2.13</v>
      </c>
      <c r="D65" s="4">
        <v>0</v>
      </c>
      <c r="E65" s="4">
        <v>0</v>
      </c>
      <c r="F65" s="1">
        <v>7.09</v>
      </c>
      <c r="G65" s="4">
        <v>0</v>
      </c>
      <c r="H65" s="8">
        <f>F65/$F$76</f>
        <v>3.0812743698815643E-4</v>
      </c>
      <c r="I65" s="1">
        <v>7.09</v>
      </c>
    </row>
    <row r="66" spans="1:9" x14ac:dyDescent="0.3">
      <c r="A66" s="1" t="s">
        <v>10</v>
      </c>
      <c r="B66" s="4">
        <v>0</v>
      </c>
      <c r="C66" s="4">
        <v>0</v>
      </c>
      <c r="D66" s="4">
        <v>0</v>
      </c>
      <c r="E66" s="4">
        <v>0</v>
      </c>
      <c r="F66" s="4">
        <v>0</v>
      </c>
      <c r="G66" s="1"/>
      <c r="H66" s="1"/>
      <c r="I66" s="1"/>
    </row>
    <row r="67" spans="1:9" x14ac:dyDescent="0.3">
      <c r="A67" s="1" t="s">
        <v>41</v>
      </c>
      <c r="B67" s="1">
        <v>134.21</v>
      </c>
      <c r="C67" s="1">
        <v>213.49</v>
      </c>
      <c r="D67" s="4">
        <v>0</v>
      </c>
      <c r="E67" s="1">
        <v>0.12</v>
      </c>
      <c r="F67" s="1">
        <v>347.82</v>
      </c>
      <c r="G67" s="8">
        <f>(F67-F68)/F68</f>
        <v>0.26021739130434779</v>
      </c>
      <c r="H67" s="8">
        <f>F67/$F$76</f>
        <v>1.5116062783246908E-2</v>
      </c>
      <c r="I67" s="1">
        <v>71.819999999999993</v>
      </c>
    </row>
    <row r="68" spans="1:9" x14ac:dyDescent="0.3">
      <c r="A68" s="1" t="s">
        <v>10</v>
      </c>
      <c r="B68" s="1">
        <v>113.51</v>
      </c>
      <c r="C68" s="1">
        <v>162.19</v>
      </c>
      <c r="D68" s="4">
        <v>0</v>
      </c>
      <c r="E68" s="1">
        <v>0.3</v>
      </c>
      <c r="F68" s="1">
        <v>276</v>
      </c>
      <c r="G68" s="1"/>
      <c r="H68" s="1"/>
      <c r="I68" s="1"/>
    </row>
    <row r="69" spans="1:9" x14ac:dyDescent="0.3">
      <c r="A69" s="1" t="s">
        <v>42</v>
      </c>
      <c r="B69" s="1">
        <v>1.19</v>
      </c>
      <c r="C69" s="4">
        <v>0</v>
      </c>
      <c r="D69" s="4">
        <v>0</v>
      </c>
      <c r="E69" s="4">
        <v>0</v>
      </c>
      <c r="F69" s="1">
        <v>1.19</v>
      </c>
      <c r="G69" s="4">
        <v>0</v>
      </c>
      <c r="H69" s="8">
        <f>F69/$F$76</f>
        <v>5.1716734840043183E-5</v>
      </c>
      <c r="I69" s="1">
        <v>1.19</v>
      </c>
    </row>
    <row r="70" spans="1:9" x14ac:dyDescent="0.3">
      <c r="A70" s="1" t="s">
        <v>10</v>
      </c>
      <c r="B70" s="4">
        <v>0</v>
      </c>
      <c r="C70" s="4">
        <v>0</v>
      </c>
      <c r="D70" s="4">
        <v>0</v>
      </c>
      <c r="E70" s="4">
        <v>0</v>
      </c>
      <c r="F70" s="4">
        <v>0</v>
      </c>
      <c r="G70" s="1"/>
      <c r="H70" s="1"/>
      <c r="I70" s="1"/>
    </row>
    <row r="71" spans="1:9" x14ac:dyDescent="0.3">
      <c r="A71" s="1" t="s">
        <v>43</v>
      </c>
      <c r="B71" s="1">
        <v>2127.89</v>
      </c>
      <c r="C71" s="1">
        <v>107.47</v>
      </c>
      <c r="D71" s="4">
        <v>0</v>
      </c>
      <c r="E71" s="1">
        <v>2.31</v>
      </c>
      <c r="F71" s="1">
        <v>2237.67</v>
      </c>
      <c r="G71" s="8">
        <f>(F71-F72)/F72</f>
        <v>4.0539597952094782E-2</v>
      </c>
      <c r="H71" s="8">
        <f>F71/$F$76</f>
        <v>9.7247887436570951E-2</v>
      </c>
      <c r="I71" s="1">
        <v>87.18</v>
      </c>
    </row>
    <row r="72" spans="1:9" x14ac:dyDescent="0.3">
      <c r="A72" s="1" t="s">
        <v>10</v>
      </c>
      <c r="B72" s="1">
        <v>1942.38</v>
      </c>
      <c r="C72" s="1">
        <v>206.1</v>
      </c>
      <c r="D72" s="4">
        <v>0</v>
      </c>
      <c r="E72" s="1">
        <v>2.0099999999999998</v>
      </c>
      <c r="F72" s="1">
        <v>2150.4899999999998</v>
      </c>
      <c r="G72" s="1"/>
      <c r="H72" s="1"/>
      <c r="I72" s="1"/>
    </row>
    <row r="73" spans="1:9" x14ac:dyDescent="0.3">
      <c r="A73" s="3" t="s">
        <v>44</v>
      </c>
      <c r="B73" s="3">
        <f>SUM(B59+B61+B63+B65+B67+B69+B71)</f>
        <v>3985.3199999999997</v>
      </c>
      <c r="C73" s="3">
        <f>SUM(C59+C61+C63+C65+C67+C69+C71)</f>
        <v>1687.6100000000001</v>
      </c>
      <c r="D73" s="5">
        <v>0</v>
      </c>
      <c r="E73" s="3">
        <f>SUM(E59+E61+E63+E65+E67+E69+E71)</f>
        <v>43.64</v>
      </c>
      <c r="F73" s="3">
        <f>SUM(F59+F61+F63+F65+F67+F69+F71)</f>
        <v>5716.5700000000006</v>
      </c>
      <c r="G73" s="9">
        <f>(F73-F74)/F74</f>
        <v>0.10365738291702559</v>
      </c>
      <c r="H73" s="9">
        <f>F73/$F$76</f>
        <v>0.2484389368777695</v>
      </c>
      <c r="I73" s="3">
        <f>SUM(I59+I61+I63+I65+I67+I69+I71)</f>
        <v>536.91</v>
      </c>
    </row>
    <row r="74" spans="1:9" x14ac:dyDescent="0.3">
      <c r="A74" s="1" t="s">
        <v>35</v>
      </c>
      <c r="B74" s="1">
        <f>SUM(B60+B62+B64+B66+B68+B70+B72)</f>
        <v>3586.45</v>
      </c>
      <c r="C74" s="1">
        <f>SUM(C60+C62+C64+C66+C68+C70+C72)</f>
        <v>1548.65</v>
      </c>
      <c r="D74" s="4">
        <v>0</v>
      </c>
      <c r="E74" s="1">
        <f>SUM(E60+E62+E64+E66+E68+E70+E72)</f>
        <v>44.559999999999995</v>
      </c>
      <c r="F74" s="1">
        <f>SUM(F60+F62+F64+F66+F68+F70+F72)</f>
        <v>5179.66</v>
      </c>
      <c r="G74" s="1"/>
      <c r="H74" s="1"/>
      <c r="I74" s="1"/>
    </row>
    <row r="75" spans="1:9" x14ac:dyDescent="0.3">
      <c r="A75" s="1" t="s">
        <v>36</v>
      </c>
      <c r="B75" s="6">
        <f t="shared" ref="B75:C75" si="3">(B73-B74)/B74</f>
        <v>0.11121582623485617</v>
      </c>
      <c r="C75" s="6">
        <f t="shared" si="3"/>
        <v>8.9729764633713252E-2</v>
      </c>
      <c r="D75" s="4">
        <v>0</v>
      </c>
      <c r="E75" s="6">
        <f t="shared" ref="E75:F75" si="4">(E73-E74)/E74</f>
        <v>-2.0646319569120167E-2</v>
      </c>
      <c r="F75" s="6">
        <f t="shared" si="4"/>
        <v>0.10365738291702559</v>
      </c>
      <c r="G75" s="1"/>
      <c r="H75" s="1"/>
      <c r="I75" s="1"/>
    </row>
    <row r="76" spans="1:9" x14ac:dyDescent="0.3">
      <c r="A76" s="3" t="s">
        <v>45</v>
      </c>
      <c r="B76" s="7">
        <f t="shared" ref="B76:F77" si="5">SUM(B55+B73)</f>
        <v>7031.8099999999995</v>
      </c>
      <c r="C76" s="7">
        <f t="shared" si="5"/>
        <v>14641.860000000002</v>
      </c>
      <c r="D76" s="7">
        <f t="shared" si="5"/>
        <v>1052.21</v>
      </c>
      <c r="E76" s="7">
        <f t="shared" si="5"/>
        <v>284.08</v>
      </c>
      <c r="F76" s="7">
        <f t="shared" si="5"/>
        <v>23009.96</v>
      </c>
      <c r="G76" s="9">
        <f>(F76-F77)/F77</f>
        <v>0.10196260791565875</v>
      </c>
      <c r="H76" s="9">
        <f>F76/$F$76</f>
        <v>1</v>
      </c>
      <c r="I76" s="7">
        <f t="shared" ref="I76" si="6">SUM(I55+I73)</f>
        <v>2129.0700000000002</v>
      </c>
    </row>
    <row r="77" spans="1:9" x14ac:dyDescent="0.3">
      <c r="A77" s="1" t="s">
        <v>35</v>
      </c>
      <c r="B77" s="4">
        <f t="shared" si="5"/>
        <v>6437.4400000000005</v>
      </c>
      <c r="C77" s="4">
        <f t="shared" si="5"/>
        <v>12915.799999999996</v>
      </c>
      <c r="D77" s="4">
        <f t="shared" si="5"/>
        <v>1262.1000000000001</v>
      </c>
      <c r="E77" s="4">
        <f t="shared" si="5"/>
        <v>265.55</v>
      </c>
      <c r="F77" s="4">
        <f t="shared" si="5"/>
        <v>20880.89</v>
      </c>
      <c r="G77" s="1"/>
      <c r="H77" s="1"/>
      <c r="I77" s="1"/>
    </row>
    <row r="78" spans="1:9" x14ac:dyDescent="0.3">
      <c r="A78" s="1" t="s">
        <v>36</v>
      </c>
      <c r="B78" s="6">
        <f t="shared" ref="B78:F78" si="7">(B76-B77)/B77</f>
        <v>9.2330180941492104E-2</v>
      </c>
      <c r="C78" s="6">
        <f t="shared" si="7"/>
        <v>0.13363941838678264</v>
      </c>
      <c r="D78" s="6">
        <f t="shared" si="7"/>
        <v>-0.16630219475477384</v>
      </c>
      <c r="E78" s="6">
        <f t="shared" si="7"/>
        <v>6.9779702504236388E-2</v>
      </c>
      <c r="F78" s="6">
        <f t="shared" si="7"/>
        <v>0.10196260791565875</v>
      </c>
      <c r="G78" s="1"/>
      <c r="H78" s="1"/>
      <c r="I78" s="1"/>
    </row>
    <row r="79" spans="1:9" x14ac:dyDescent="0.3">
      <c r="A79" s="1" t="s">
        <v>46</v>
      </c>
      <c r="B79" s="8">
        <f>B76/$F$76</f>
        <v>0.30559853211391935</v>
      </c>
      <c r="C79" s="8">
        <f t="shared" ref="C79:F79" si="8">C76/$F$76</f>
        <v>0.63632705141599566</v>
      </c>
      <c r="D79" s="8">
        <f t="shared" si="8"/>
        <v>4.5728458458858687E-2</v>
      </c>
      <c r="E79" s="8">
        <f t="shared" si="8"/>
        <v>1.2345958011226442E-2</v>
      </c>
      <c r="F79" s="8">
        <f t="shared" si="8"/>
        <v>1</v>
      </c>
      <c r="G79" s="1"/>
      <c r="H79" s="1"/>
      <c r="I79" s="1"/>
    </row>
    <row r="80" spans="1:9" x14ac:dyDescent="0.3">
      <c r="A80" s="1" t="s">
        <v>47</v>
      </c>
      <c r="B80" s="8">
        <f>B77/$F$77</f>
        <v>0.30829337255260675</v>
      </c>
      <c r="C80" s="8">
        <f t="shared" ref="C80:F80" si="9">C77/$F$77</f>
        <v>0.61854643168945367</v>
      </c>
      <c r="D80" s="8">
        <f t="shared" si="9"/>
        <v>6.0442825952342079E-2</v>
      </c>
      <c r="E80" s="8">
        <f t="shared" si="9"/>
        <v>1.2717369805597368E-2</v>
      </c>
      <c r="F80" s="8">
        <f t="shared" si="9"/>
        <v>1</v>
      </c>
      <c r="G80" s="1"/>
      <c r="H80" s="1"/>
      <c r="I80" s="1"/>
    </row>
    <row r="82" spans="1:9" ht="65.400000000000006" customHeight="1" x14ac:dyDescent="0.3">
      <c r="A82" s="17" t="s">
        <v>76</v>
      </c>
      <c r="B82" s="17"/>
      <c r="C82" s="17"/>
      <c r="D82" s="17"/>
      <c r="E82" s="17"/>
      <c r="F82" s="17"/>
      <c r="G82" s="17"/>
      <c r="H82" s="17"/>
      <c r="I82" s="17"/>
    </row>
  </sheetData>
  <mergeCells count="2">
    <mergeCell ref="A2:I2"/>
    <mergeCell ref="A82:I8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61"/>
  <sheetViews>
    <sheetView topLeftCell="A17" workbookViewId="0">
      <selection activeCell="I17" sqref="I17"/>
    </sheetView>
  </sheetViews>
  <sheetFormatPr defaultRowHeight="14.4" x14ac:dyDescent="0.3"/>
  <cols>
    <col min="1" max="1" width="39.44140625" customWidth="1"/>
    <col min="2" max="2" width="12.44140625" customWidth="1"/>
    <col min="5" max="5" width="10.5546875" customWidth="1"/>
    <col min="6" max="6" width="11.5546875" customWidth="1"/>
    <col min="9" max="9" width="10.5546875" customWidth="1"/>
  </cols>
  <sheetData>
    <row r="2" spans="1:9" ht="32.4" customHeight="1" x14ac:dyDescent="0.3">
      <c r="A2" s="16" t="s">
        <v>74</v>
      </c>
      <c r="B2" s="16"/>
      <c r="C2" s="16"/>
      <c r="D2" s="16"/>
      <c r="E2" s="16"/>
      <c r="F2" s="16"/>
      <c r="G2" s="16"/>
      <c r="H2" s="16"/>
      <c r="I2" s="16"/>
    </row>
    <row r="3" spans="1:9" ht="56.4" customHeight="1" x14ac:dyDescent="0.3">
      <c r="A3" s="2"/>
      <c r="B3" s="2" t="s">
        <v>48</v>
      </c>
      <c r="C3" s="2" t="s">
        <v>49</v>
      </c>
      <c r="D3" s="2" t="s">
        <v>50</v>
      </c>
      <c r="E3" s="2" t="s">
        <v>51</v>
      </c>
      <c r="F3" s="2" t="s">
        <v>4</v>
      </c>
      <c r="G3" s="2" t="s">
        <v>5</v>
      </c>
      <c r="H3" s="2" t="s">
        <v>6</v>
      </c>
      <c r="I3" s="2" t="s">
        <v>7</v>
      </c>
    </row>
    <row r="4" spans="1:9" x14ac:dyDescent="0.3">
      <c r="A4" s="3" t="s">
        <v>8</v>
      </c>
      <c r="B4" s="1"/>
      <c r="C4" s="1"/>
      <c r="D4" s="1"/>
      <c r="E4" s="1"/>
      <c r="F4" s="1"/>
      <c r="G4" s="1"/>
      <c r="H4" s="1"/>
      <c r="I4" s="1"/>
    </row>
    <row r="5" spans="1:9" x14ac:dyDescent="0.3">
      <c r="A5" s="1" t="s">
        <v>9</v>
      </c>
      <c r="B5" s="4">
        <v>0</v>
      </c>
      <c r="C5" s="4">
        <v>0</v>
      </c>
      <c r="D5" s="4">
        <v>0</v>
      </c>
      <c r="E5" s="1">
        <v>5.58</v>
      </c>
      <c r="F5" s="1">
        <v>5.58</v>
      </c>
      <c r="G5" s="8">
        <f>(F5-F6)/F6</f>
        <v>-0.50750220653133271</v>
      </c>
      <c r="H5" s="8">
        <f>F5/$F$55</f>
        <v>4.0370716037592515E-3</v>
      </c>
      <c r="I5" s="1">
        <v>-5.75</v>
      </c>
    </row>
    <row r="6" spans="1:9" x14ac:dyDescent="0.3">
      <c r="A6" s="1" t="s">
        <v>10</v>
      </c>
      <c r="B6" s="4">
        <v>0</v>
      </c>
      <c r="C6" s="4">
        <v>0</v>
      </c>
      <c r="D6" s="4">
        <v>0</v>
      </c>
      <c r="E6" s="1">
        <v>11.33</v>
      </c>
      <c r="F6" s="1">
        <v>11.33</v>
      </c>
      <c r="G6" s="1"/>
      <c r="H6" s="1"/>
      <c r="I6" s="1"/>
    </row>
    <row r="7" spans="1:9" x14ac:dyDescent="0.3">
      <c r="A7" s="1" t="s">
        <v>11</v>
      </c>
      <c r="B7" s="1">
        <v>16.59</v>
      </c>
      <c r="C7" s="1">
        <v>4.07</v>
      </c>
      <c r="D7" s="1">
        <v>24.3</v>
      </c>
      <c r="E7" s="1">
        <v>153.41999999999999</v>
      </c>
      <c r="F7" s="1">
        <v>198.38</v>
      </c>
      <c r="G7" s="8">
        <f>(F7-F8)/F8</f>
        <v>0.27485380116959052</v>
      </c>
      <c r="H7" s="8">
        <f>F7/$F$55</f>
        <v>0.14352585389852335</v>
      </c>
      <c r="I7" s="1">
        <v>42.77</v>
      </c>
    </row>
    <row r="8" spans="1:9" x14ac:dyDescent="0.3">
      <c r="A8" s="1" t="s">
        <v>10</v>
      </c>
      <c r="B8" s="1">
        <v>14.72</v>
      </c>
      <c r="C8" s="1">
        <v>0.2</v>
      </c>
      <c r="D8" s="1">
        <v>21.38</v>
      </c>
      <c r="E8" s="1">
        <v>119.31</v>
      </c>
      <c r="F8" s="1">
        <v>155.61000000000001</v>
      </c>
      <c r="G8" s="1"/>
      <c r="H8" s="1"/>
      <c r="I8" s="1"/>
    </row>
    <row r="9" spans="1:9" x14ac:dyDescent="0.3">
      <c r="A9" s="1" t="s">
        <v>12</v>
      </c>
      <c r="B9" s="1">
        <v>1.72</v>
      </c>
      <c r="C9" s="1">
        <v>4.16</v>
      </c>
      <c r="D9" s="1">
        <v>0.53</v>
      </c>
      <c r="E9" s="4">
        <v>0</v>
      </c>
      <c r="F9" s="1">
        <v>6.41</v>
      </c>
      <c r="G9" s="8">
        <f>(F9-F10)/F10</f>
        <v>0.23506743737957606</v>
      </c>
      <c r="H9" s="8">
        <f>F9/$F$55</f>
        <v>4.6375679175800722E-3</v>
      </c>
      <c r="I9" s="1">
        <v>1.22</v>
      </c>
    </row>
    <row r="10" spans="1:9" x14ac:dyDescent="0.3">
      <c r="A10" s="1" t="s">
        <v>10</v>
      </c>
      <c r="B10" s="1">
        <v>1.56</v>
      </c>
      <c r="C10" s="1">
        <v>2.9</v>
      </c>
      <c r="D10" s="1">
        <v>0.73</v>
      </c>
      <c r="E10" s="4">
        <v>0</v>
      </c>
      <c r="F10" s="1">
        <v>5.19</v>
      </c>
      <c r="G10" s="1"/>
      <c r="H10" s="1"/>
      <c r="I10" s="1"/>
    </row>
    <row r="11" spans="1:9" x14ac:dyDescent="0.3">
      <c r="A11" s="1" t="s">
        <v>13</v>
      </c>
      <c r="B11" s="1">
        <v>7.99</v>
      </c>
      <c r="C11" s="1">
        <v>0.18</v>
      </c>
      <c r="D11" s="1">
        <v>7.92</v>
      </c>
      <c r="E11" s="4">
        <v>0</v>
      </c>
      <c r="F11" s="1">
        <v>16.09</v>
      </c>
      <c r="G11" s="8">
        <f>(F11-F12)/F12</f>
        <v>0.42389380530973442</v>
      </c>
      <c r="H11" s="8">
        <f>F11/$F$55</f>
        <v>1.1640946613707232E-2</v>
      </c>
      <c r="I11" s="1">
        <v>4.79</v>
      </c>
    </row>
    <row r="12" spans="1:9" x14ac:dyDescent="0.3">
      <c r="A12" s="1" t="s">
        <v>10</v>
      </c>
      <c r="B12" s="1">
        <v>7.17</v>
      </c>
      <c r="C12" s="1">
        <v>0.05</v>
      </c>
      <c r="D12" s="1">
        <v>4.08</v>
      </c>
      <c r="E12" s="4">
        <v>0</v>
      </c>
      <c r="F12" s="1">
        <v>11.3</v>
      </c>
      <c r="G12" s="1"/>
      <c r="H12" s="1"/>
      <c r="I12" s="1"/>
    </row>
    <row r="13" spans="1:9" x14ac:dyDescent="0.3">
      <c r="A13" s="1" t="s">
        <v>14</v>
      </c>
      <c r="B13" s="1">
        <v>14.2</v>
      </c>
      <c r="C13" s="1">
        <v>0.5</v>
      </c>
      <c r="D13" s="4">
        <v>0</v>
      </c>
      <c r="E13" s="1">
        <v>47.22</v>
      </c>
      <c r="F13" s="1">
        <v>61.92</v>
      </c>
      <c r="G13" s="8">
        <f>(F13-F14)/F14</f>
        <v>1.2059137869611685</v>
      </c>
      <c r="H13" s="8">
        <f>F13/$F$55</f>
        <v>4.4798471990102666E-2</v>
      </c>
      <c r="I13" s="1">
        <v>33.85</v>
      </c>
    </row>
    <row r="14" spans="1:9" x14ac:dyDescent="0.3">
      <c r="A14" s="1" t="s">
        <v>10</v>
      </c>
      <c r="B14" s="1">
        <v>11.82</v>
      </c>
      <c r="C14" s="1">
        <v>0.05</v>
      </c>
      <c r="D14" s="4">
        <v>0</v>
      </c>
      <c r="E14" s="1">
        <v>16.2</v>
      </c>
      <c r="F14" s="1">
        <v>28.07</v>
      </c>
      <c r="G14" s="1"/>
      <c r="H14" s="1"/>
      <c r="I14" s="1"/>
    </row>
    <row r="15" spans="1:9" x14ac:dyDescent="0.3">
      <c r="A15" s="1" t="s">
        <v>15</v>
      </c>
      <c r="B15" s="1">
        <v>6.02</v>
      </c>
      <c r="C15" s="1">
        <v>3.07</v>
      </c>
      <c r="D15" s="1">
        <v>0.05</v>
      </c>
      <c r="E15" s="1">
        <v>161.18</v>
      </c>
      <c r="F15" s="1">
        <v>170.32</v>
      </c>
      <c r="G15" s="8">
        <f>(F15-F16)/F16</f>
        <v>4.5421065553646001E-2</v>
      </c>
      <c r="H15" s="8">
        <f>F15/$F$55</f>
        <v>0.12322473755417127</v>
      </c>
      <c r="I15" s="1">
        <v>7.4</v>
      </c>
    </row>
    <row r="16" spans="1:9" x14ac:dyDescent="0.3">
      <c r="A16" s="1" t="s">
        <v>10</v>
      </c>
      <c r="B16" s="1">
        <v>5.0199999999999996</v>
      </c>
      <c r="C16" s="1">
        <v>0.41</v>
      </c>
      <c r="D16" s="1">
        <v>0.09</v>
      </c>
      <c r="E16" s="1">
        <v>157.4</v>
      </c>
      <c r="F16" s="1">
        <v>162.91999999999999</v>
      </c>
      <c r="G16" s="1"/>
      <c r="H16" s="1"/>
      <c r="I16" s="1"/>
    </row>
    <row r="17" spans="1:9" x14ac:dyDescent="0.3">
      <c r="A17" s="1" t="s">
        <v>16</v>
      </c>
      <c r="B17" s="1">
        <v>39.58</v>
      </c>
      <c r="C17" s="1">
        <v>6.43</v>
      </c>
      <c r="D17" s="1">
        <v>0.1</v>
      </c>
      <c r="E17" s="1">
        <v>200.78</v>
      </c>
      <c r="F17" s="1">
        <v>246.89</v>
      </c>
      <c r="G17" s="8">
        <f>(F17-F18)/F18</f>
        <v>-6.1989292758524352E-3</v>
      </c>
      <c r="H17" s="8">
        <f>F17/$F$55</f>
        <v>0.17862233122797877</v>
      </c>
      <c r="I17" s="1">
        <v>-1.54</v>
      </c>
    </row>
    <row r="18" spans="1:9" x14ac:dyDescent="0.3">
      <c r="A18" s="1" t="s">
        <v>10</v>
      </c>
      <c r="B18" s="1">
        <v>29.51</v>
      </c>
      <c r="C18" s="1">
        <v>0.17</v>
      </c>
      <c r="D18" s="4">
        <v>0</v>
      </c>
      <c r="E18" s="1">
        <v>218.75</v>
      </c>
      <c r="F18" s="1">
        <v>248.43</v>
      </c>
      <c r="G18" s="1"/>
      <c r="H18" s="1"/>
      <c r="I18" s="1"/>
    </row>
    <row r="19" spans="1:9" x14ac:dyDescent="0.3">
      <c r="A19" s="1" t="s">
        <v>17</v>
      </c>
      <c r="B19" s="1">
        <v>12.92</v>
      </c>
      <c r="C19" s="1">
        <v>15.36</v>
      </c>
      <c r="D19" s="1">
        <v>1.29</v>
      </c>
      <c r="E19" s="1">
        <v>26.22</v>
      </c>
      <c r="F19" s="1">
        <v>55.79</v>
      </c>
      <c r="G19" s="8">
        <f>(F19-F20)/F20</f>
        <v>6.2666666666666648E-2</v>
      </c>
      <c r="H19" s="8">
        <f>F19/$F$55</f>
        <v>4.0363481142245278E-2</v>
      </c>
      <c r="I19" s="1">
        <v>3.29</v>
      </c>
    </row>
    <row r="20" spans="1:9" x14ac:dyDescent="0.3">
      <c r="A20" s="1" t="s">
        <v>10</v>
      </c>
      <c r="B20" s="1">
        <v>10.3</v>
      </c>
      <c r="C20" s="1">
        <v>12.64</v>
      </c>
      <c r="D20" s="1">
        <v>1.1000000000000001</v>
      </c>
      <c r="E20" s="1">
        <v>28.46</v>
      </c>
      <c r="F20" s="1">
        <v>52.5</v>
      </c>
      <c r="G20" s="1"/>
      <c r="H20" s="1"/>
      <c r="I20" s="1"/>
    </row>
    <row r="21" spans="1:9" x14ac:dyDescent="0.3">
      <c r="A21" s="1" t="s">
        <v>75</v>
      </c>
      <c r="B21" s="1">
        <v>0.46</v>
      </c>
      <c r="C21" s="4">
        <v>0</v>
      </c>
      <c r="D21" s="4">
        <v>0</v>
      </c>
      <c r="E21" s="1">
        <v>0.03</v>
      </c>
      <c r="F21" s="1">
        <v>0.49</v>
      </c>
      <c r="G21" s="8">
        <f>(F21-F22)/F22</f>
        <v>0.68965517241379315</v>
      </c>
      <c r="H21" s="8">
        <f>F21/$F$55</f>
        <v>3.5450987201470131E-4</v>
      </c>
      <c r="I21" s="1">
        <v>0.2</v>
      </c>
    </row>
    <row r="22" spans="1:9" x14ac:dyDescent="0.3">
      <c r="A22" s="1" t="s">
        <v>10</v>
      </c>
      <c r="B22" s="1">
        <v>0.22</v>
      </c>
      <c r="C22" s="4">
        <v>0</v>
      </c>
      <c r="D22" s="4">
        <v>0</v>
      </c>
      <c r="E22" s="1">
        <v>7.0000000000000007E-2</v>
      </c>
      <c r="F22" s="1">
        <v>0.28999999999999998</v>
      </c>
      <c r="G22" s="1"/>
      <c r="H22" s="1"/>
      <c r="I22" s="1"/>
    </row>
    <row r="23" spans="1:9" x14ac:dyDescent="0.3">
      <c r="A23" s="1" t="s">
        <v>18</v>
      </c>
      <c r="B23" s="4">
        <v>0</v>
      </c>
      <c r="C23" s="4">
        <v>0</v>
      </c>
      <c r="D23" s="4">
        <v>0</v>
      </c>
      <c r="E23" s="4">
        <v>0</v>
      </c>
      <c r="F23" s="4">
        <v>0</v>
      </c>
      <c r="G23" s="4">
        <v>0</v>
      </c>
      <c r="H23" s="4">
        <v>0</v>
      </c>
      <c r="I23" s="4">
        <v>0</v>
      </c>
    </row>
    <row r="24" spans="1:9" x14ac:dyDescent="0.3">
      <c r="A24" s="1" t="s">
        <v>10</v>
      </c>
      <c r="B24" s="4">
        <v>0</v>
      </c>
      <c r="C24" s="4">
        <v>0</v>
      </c>
      <c r="D24" s="4">
        <v>0</v>
      </c>
      <c r="E24" s="4">
        <v>0</v>
      </c>
      <c r="F24" s="4">
        <v>0</v>
      </c>
      <c r="G24" s="4"/>
      <c r="H24" s="4"/>
      <c r="I24" s="4"/>
    </row>
    <row r="25" spans="1:9" x14ac:dyDescent="0.3">
      <c r="A25" s="1" t="s">
        <v>19</v>
      </c>
      <c r="B25" s="1">
        <v>1.31</v>
      </c>
      <c r="C25" s="1">
        <v>0.2</v>
      </c>
      <c r="D25" s="4">
        <v>0</v>
      </c>
      <c r="E25" s="1">
        <v>6.5</v>
      </c>
      <c r="F25" s="1">
        <v>8.01</v>
      </c>
      <c r="G25" s="8">
        <f>(F25-F26)/F26</f>
        <v>1.9557195571955719</v>
      </c>
      <c r="H25" s="8">
        <f>F25/$F$55</f>
        <v>5.7951511731382799E-3</v>
      </c>
      <c r="I25" s="1">
        <v>5.3</v>
      </c>
    </row>
    <row r="26" spans="1:9" x14ac:dyDescent="0.3">
      <c r="A26" s="1" t="s">
        <v>10</v>
      </c>
      <c r="B26" s="1">
        <v>0.86</v>
      </c>
      <c r="C26" s="1">
        <v>0</v>
      </c>
      <c r="D26" s="4">
        <v>0</v>
      </c>
      <c r="E26" s="1">
        <v>1.85</v>
      </c>
      <c r="F26" s="1">
        <v>2.71</v>
      </c>
      <c r="G26" s="1"/>
      <c r="H26" s="1"/>
      <c r="I26" s="1"/>
    </row>
    <row r="27" spans="1:9" x14ac:dyDescent="0.3">
      <c r="A27" s="1" t="s">
        <v>20</v>
      </c>
      <c r="B27" s="1">
        <v>2.2000000000000002</v>
      </c>
      <c r="C27" s="1">
        <v>0.22</v>
      </c>
      <c r="D27" s="4">
        <v>0</v>
      </c>
      <c r="E27" s="1">
        <v>10.43</v>
      </c>
      <c r="F27" s="1">
        <v>12.85</v>
      </c>
      <c r="G27" s="8">
        <f>(F27-F28)/F28</f>
        <v>-0.31173004820567762</v>
      </c>
      <c r="H27" s="8">
        <f>F27/$F$55</f>
        <v>9.2968405212018601E-3</v>
      </c>
      <c r="I27" s="1">
        <v>-5.82</v>
      </c>
    </row>
    <row r="28" spans="1:9" x14ac:dyDescent="0.3">
      <c r="A28" s="1" t="s">
        <v>10</v>
      </c>
      <c r="B28" s="1">
        <v>1.7</v>
      </c>
      <c r="C28" s="1">
        <v>0.01</v>
      </c>
      <c r="D28" s="4">
        <v>0</v>
      </c>
      <c r="E28" s="1">
        <v>16.96</v>
      </c>
      <c r="F28" s="1">
        <v>18.670000000000002</v>
      </c>
      <c r="G28" s="1"/>
      <c r="H28" s="1"/>
      <c r="I28" s="1"/>
    </row>
    <row r="29" spans="1:9" x14ac:dyDescent="0.3">
      <c r="A29" s="1" t="s">
        <v>21</v>
      </c>
      <c r="B29" s="1">
        <v>10.050000000000001</v>
      </c>
      <c r="C29" s="1">
        <v>0.36</v>
      </c>
      <c r="D29" s="1">
        <v>2.1</v>
      </c>
      <c r="E29" s="1">
        <v>28.97</v>
      </c>
      <c r="F29" s="1">
        <v>41.48</v>
      </c>
      <c r="G29" s="8">
        <f>(F29-F30)/F30</f>
        <v>-0.1104439202230325</v>
      </c>
      <c r="H29" s="8">
        <f>F29/$F$55</f>
        <v>3.0010345900346548E-2</v>
      </c>
      <c r="I29" s="1">
        <v>-5.15</v>
      </c>
    </row>
    <row r="30" spans="1:9" x14ac:dyDescent="0.3">
      <c r="A30" s="1" t="s">
        <v>10</v>
      </c>
      <c r="B30" s="1">
        <v>10.3</v>
      </c>
      <c r="C30" s="1">
        <v>0.17</v>
      </c>
      <c r="D30" s="1">
        <v>0.73</v>
      </c>
      <c r="E30" s="1">
        <v>35.43</v>
      </c>
      <c r="F30" s="1">
        <v>46.63</v>
      </c>
      <c r="G30" s="1"/>
      <c r="H30" s="1"/>
      <c r="I30" s="1"/>
    </row>
    <row r="31" spans="1:9" x14ac:dyDescent="0.3">
      <c r="A31" s="1" t="s">
        <v>22</v>
      </c>
      <c r="B31" s="4">
        <v>0</v>
      </c>
      <c r="C31" s="4">
        <v>0</v>
      </c>
      <c r="D31" s="4">
        <v>0</v>
      </c>
      <c r="E31" s="4">
        <v>0</v>
      </c>
      <c r="F31" s="4">
        <v>0</v>
      </c>
      <c r="G31" s="4">
        <v>0</v>
      </c>
      <c r="H31" s="4">
        <v>0</v>
      </c>
      <c r="I31" s="4">
        <v>0</v>
      </c>
    </row>
    <row r="32" spans="1:9" x14ac:dyDescent="0.3">
      <c r="A32" s="1" t="s">
        <v>10</v>
      </c>
      <c r="B32" s="4">
        <v>0</v>
      </c>
      <c r="C32" s="4">
        <v>0</v>
      </c>
      <c r="D32" s="4">
        <v>0</v>
      </c>
      <c r="E32" s="4">
        <v>0</v>
      </c>
      <c r="F32" s="4">
        <v>0</v>
      </c>
      <c r="G32" s="4"/>
      <c r="H32" s="4"/>
      <c r="I32" s="4"/>
    </row>
    <row r="33" spans="1:9" x14ac:dyDescent="0.3">
      <c r="A33" s="1" t="s">
        <v>23</v>
      </c>
      <c r="B33" s="1">
        <v>1.29</v>
      </c>
      <c r="C33" s="1">
        <v>0.01</v>
      </c>
      <c r="D33" s="1">
        <v>0.87</v>
      </c>
      <c r="E33" s="1">
        <v>16.239999999999998</v>
      </c>
      <c r="F33" s="1">
        <v>18.41</v>
      </c>
      <c r="G33" s="8">
        <f>(F33-F34)/F34</f>
        <v>0.62345679012345678</v>
      </c>
      <c r="H33" s="8">
        <f>F33/$F$55</f>
        <v>1.3319442334266634E-2</v>
      </c>
      <c r="I33" s="1">
        <v>7.07</v>
      </c>
    </row>
    <row r="34" spans="1:9" x14ac:dyDescent="0.3">
      <c r="A34" s="1" t="s">
        <v>10</v>
      </c>
      <c r="B34" s="1">
        <v>0.69</v>
      </c>
      <c r="C34" s="4">
        <v>0</v>
      </c>
      <c r="D34" s="1">
        <v>0.75</v>
      </c>
      <c r="E34" s="1">
        <v>9.9</v>
      </c>
      <c r="F34" s="1">
        <v>11.34</v>
      </c>
      <c r="G34" s="1"/>
      <c r="H34" s="1"/>
      <c r="I34" s="1"/>
    </row>
    <row r="35" spans="1:9" x14ac:dyDescent="0.3">
      <c r="A35" s="1" t="s">
        <v>24</v>
      </c>
      <c r="B35" s="1">
        <v>7.4</v>
      </c>
      <c r="C35" s="1">
        <v>1.82</v>
      </c>
      <c r="D35" s="1">
        <v>0.27</v>
      </c>
      <c r="E35" s="1">
        <v>19.34</v>
      </c>
      <c r="F35" s="1">
        <v>28.83</v>
      </c>
      <c r="G35" s="8">
        <f>(F35-F36)/F36</f>
        <v>0.40155566358774902</v>
      </c>
      <c r="H35" s="8">
        <f>F35/$F$55</f>
        <v>2.0858203286089463E-2</v>
      </c>
      <c r="I35" s="1">
        <v>8.26</v>
      </c>
    </row>
    <row r="36" spans="1:9" x14ac:dyDescent="0.3">
      <c r="A36" s="1" t="s">
        <v>10</v>
      </c>
      <c r="B36" s="1">
        <v>5.49</v>
      </c>
      <c r="C36" s="1">
        <v>0.5</v>
      </c>
      <c r="D36" s="1">
        <v>0.2</v>
      </c>
      <c r="E36" s="1">
        <v>14.38</v>
      </c>
      <c r="F36" s="1">
        <v>20.57</v>
      </c>
      <c r="G36" s="1"/>
      <c r="H36" s="1"/>
      <c r="I36" s="1"/>
    </row>
    <row r="37" spans="1:9" x14ac:dyDescent="0.3">
      <c r="A37" s="1" t="s">
        <v>25</v>
      </c>
      <c r="B37" s="1">
        <v>2.56</v>
      </c>
      <c r="C37" s="1">
        <v>1.47</v>
      </c>
      <c r="D37" s="1">
        <v>0.06</v>
      </c>
      <c r="E37" s="1">
        <v>0</v>
      </c>
      <c r="F37" s="1">
        <v>4.09</v>
      </c>
      <c r="G37" s="8">
        <f>(F37-F38)/F38</f>
        <v>0.44014084507042256</v>
      </c>
      <c r="H37" s="8">
        <f>F37/$F$55</f>
        <v>2.9590721970206698E-3</v>
      </c>
      <c r="I37" s="1">
        <v>1.25</v>
      </c>
    </row>
    <row r="38" spans="1:9" x14ac:dyDescent="0.3">
      <c r="A38" s="1" t="s">
        <v>10</v>
      </c>
      <c r="B38" s="1">
        <v>1.41</v>
      </c>
      <c r="C38" s="1">
        <v>1.35</v>
      </c>
      <c r="D38" s="1">
        <v>0.08</v>
      </c>
      <c r="E38" s="1">
        <v>0</v>
      </c>
      <c r="F38" s="1">
        <v>2.84</v>
      </c>
      <c r="G38" s="1"/>
      <c r="H38" s="1"/>
      <c r="I38" s="1"/>
    </row>
    <row r="39" spans="1:9" x14ac:dyDescent="0.3">
      <c r="A39" s="1" t="s">
        <v>26</v>
      </c>
      <c r="B39" s="1">
        <v>2.0499999999999998</v>
      </c>
      <c r="C39" s="1">
        <v>1.1100000000000001</v>
      </c>
      <c r="D39" s="1">
        <v>0.11</v>
      </c>
      <c r="E39" s="1">
        <v>23.96</v>
      </c>
      <c r="F39" s="1">
        <v>27.23</v>
      </c>
      <c r="G39" s="8">
        <f>(F39-F40)/F40</f>
        <v>0.56314580941446601</v>
      </c>
      <c r="H39" s="8">
        <f>F39/$F$55</f>
        <v>1.9700620030531257E-2</v>
      </c>
      <c r="I39" s="1">
        <v>9.81</v>
      </c>
    </row>
    <row r="40" spans="1:9" x14ac:dyDescent="0.3">
      <c r="A40" s="1" t="s">
        <v>10</v>
      </c>
      <c r="B40" s="1">
        <v>1.44</v>
      </c>
      <c r="C40" s="1">
        <v>0.03</v>
      </c>
      <c r="D40" s="1">
        <v>0.27</v>
      </c>
      <c r="E40" s="1">
        <v>15.68</v>
      </c>
      <c r="F40" s="1">
        <v>17.420000000000002</v>
      </c>
      <c r="G40" s="1"/>
      <c r="H40" s="1"/>
      <c r="I40" s="1"/>
    </row>
    <row r="41" spans="1:9" x14ac:dyDescent="0.3">
      <c r="A41" s="1" t="s">
        <v>27</v>
      </c>
      <c r="B41" s="1">
        <v>1.03</v>
      </c>
      <c r="C41" s="1">
        <v>0.01</v>
      </c>
      <c r="D41" s="4">
        <v>0</v>
      </c>
      <c r="E41" s="1">
        <v>0.76</v>
      </c>
      <c r="F41" s="1">
        <v>1.8</v>
      </c>
      <c r="G41" s="8">
        <f>(F41-F42)/F42</f>
        <v>0.11111111111111106</v>
      </c>
      <c r="H41" s="8">
        <f>F41/$F$55</f>
        <v>1.3022811625029843E-3</v>
      </c>
      <c r="I41" s="1">
        <v>0.18</v>
      </c>
    </row>
    <row r="42" spans="1:9" x14ac:dyDescent="0.3">
      <c r="A42" s="1" t="s">
        <v>10</v>
      </c>
      <c r="B42" s="1">
        <v>1.1399999999999999</v>
      </c>
      <c r="C42" s="1">
        <v>0.01</v>
      </c>
      <c r="D42" s="4">
        <v>0</v>
      </c>
      <c r="E42" s="1">
        <v>0.47</v>
      </c>
      <c r="F42" s="1">
        <v>1.62</v>
      </c>
      <c r="G42" s="1"/>
      <c r="H42" s="1"/>
      <c r="I42" s="1"/>
    </row>
    <row r="43" spans="1:9" x14ac:dyDescent="0.3">
      <c r="A43" s="1" t="s">
        <v>28</v>
      </c>
      <c r="B43" s="1">
        <v>14.46</v>
      </c>
      <c r="C43" s="4">
        <v>0</v>
      </c>
      <c r="D43" s="1">
        <v>6.48</v>
      </c>
      <c r="E43" s="1">
        <v>226.73</v>
      </c>
      <c r="F43" s="1">
        <v>247.67</v>
      </c>
      <c r="G43" s="8">
        <f>(F43-F44)/F44</f>
        <v>-4.9433889848397708E-2</v>
      </c>
      <c r="H43" s="8">
        <f>F43/$F$55</f>
        <v>0.1791866530650634</v>
      </c>
      <c r="I43" s="1">
        <v>-12.88</v>
      </c>
    </row>
    <row r="44" spans="1:9" x14ac:dyDescent="0.3">
      <c r="A44" s="1" t="s">
        <v>10</v>
      </c>
      <c r="B44" s="1">
        <v>13.53</v>
      </c>
      <c r="C44" s="4">
        <v>0</v>
      </c>
      <c r="D44" s="1">
        <v>5.24</v>
      </c>
      <c r="E44" s="1">
        <v>241.78</v>
      </c>
      <c r="F44" s="1">
        <v>260.55</v>
      </c>
      <c r="G44" s="1"/>
      <c r="H44" s="1"/>
      <c r="I44" s="1"/>
    </row>
    <row r="45" spans="1:9" x14ac:dyDescent="0.3">
      <c r="A45" s="1" t="s">
        <v>29</v>
      </c>
      <c r="B45" s="1">
        <v>23.36</v>
      </c>
      <c r="C45" s="1">
        <v>5.39</v>
      </c>
      <c r="D45" s="1">
        <v>1.05</v>
      </c>
      <c r="E45" s="1">
        <v>113.6</v>
      </c>
      <c r="F45" s="1">
        <v>143.4</v>
      </c>
      <c r="G45" s="8">
        <f>(F45-F46)/F46</f>
        <v>0.16994370563759495</v>
      </c>
      <c r="H45" s="8">
        <f>F45/$F$55</f>
        <v>0.10374839927940442</v>
      </c>
      <c r="I45" s="1">
        <v>20.83</v>
      </c>
    </row>
    <row r="46" spans="1:9" x14ac:dyDescent="0.3">
      <c r="A46" s="1" t="s">
        <v>10</v>
      </c>
      <c r="B46" s="1">
        <v>22.17</v>
      </c>
      <c r="C46" s="1">
        <v>3.67</v>
      </c>
      <c r="D46" s="1">
        <v>1.02</v>
      </c>
      <c r="E46" s="1">
        <v>95.71</v>
      </c>
      <c r="F46" s="1">
        <v>122.57</v>
      </c>
      <c r="G46" s="1"/>
      <c r="H46" s="1"/>
      <c r="I46" s="1"/>
    </row>
    <row r="47" spans="1:9" x14ac:dyDescent="0.3">
      <c r="A47" s="1" t="s">
        <v>30</v>
      </c>
      <c r="B47" s="1">
        <v>10.31</v>
      </c>
      <c r="C47" s="1">
        <v>0.42</v>
      </c>
      <c r="D47" s="1">
        <v>0.6</v>
      </c>
      <c r="E47" s="1">
        <v>20.49</v>
      </c>
      <c r="F47" s="1">
        <v>31.82</v>
      </c>
      <c r="G47" s="8">
        <f>(F47-F48)/F48</f>
        <v>0.30036779730281987</v>
      </c>
      <c r="H47" s="8">
        <f>F47/$F$55</f>
        <v>2.3021436994913869E-2</v>
      </c>
      <c r="I47" s="1">
        <v>7.35</v>
      </c>
    </row>
    <row r="48" spans="1:9" x14ac:dyDescent="0.3">
      <c r="A48" s="1" t="s">
        <v>10</v>
      </c>
      <c r="B48" s="1">
        <v>9.7200000000000006</v>
      </c>
      <c r="C48" s="1">
        <v>0.22</v>
      </c>
      <c r="D48" s="1">
        <v>0.62</v>
      </c>
      <c r="E48" s="1">
        <v>13.91</v>
      </c>
      <c r="F48" s="1">
        <v>24.47</v>
      </c>
      <c r="G48" s="1"/>
      <c r="H48" s="1"/>
      <c r="I48" s="1"/>
    </row>
    <row r="49" spans="1:9" x14ac:dyDescent="0.3">
      <c r="A49" s="1" t="s">
        <v>31</v>
      </c>
      <c r="B49" s="1">
        <v>12.93</v>
      </c>
      <c r="C49" s="1">
        <v>0.63</v>
      </c>
      <c r="D49" s="1">
        <v>8.89</v>
      </c>
      <c r="E49" s="1">
        <v>23.85</v>
      </c>
      <c r="F49" s="1">
        <v>46.3</v>
      </c>
      <c r="G49" s="8">
        <f>(F49-F50)/F50</f>
        <v>-7.1958308278212132E-2</v>
      </c>
      <c r="H49" s="8">
        <f>F49/$F$55</f>
        <v>3.349756545771565E-2</v>
      </c>
      <c r="I49" s="1">
        <v>-3.59</v>
      </c>
    </row>
    <row r="50" spans="1:9" x14ac:dyDescent="0.3">
      <c r="A50" s="1" t="s">
        <v>10</v>
      </c>
      <c r="B50" s="1">
        <v>12.33</v>
      </c>
      <c r="C50" s="1">
        <v>0.25</v>
      </c>
      <c r="D50" s="1">
        <v>9.85</v>
      </c>
      <c r="E50" s="1">
        <v>27.46</v>
      </c>
      <c r="F50" s="1">
        <v>49.89</v>
      </c>
      <c r="G50" s="1"/>
      <c r="H50" s="1"/>
      <c r="I50" s="1"/>
    </row>
    <row r="51" spans="1:9" x14ac:dyDescent="0.3">
      <c r="A51" s="1" t="s">
        <v>32</v>
      </c>
      <c r="B51" s="1">
        <v>0.51</v>
      </c>
      <c r="C51" s="1">
        <v>0.08</v>
      </c>
      <c r="D51" s="1">
        <v>0.11</v>
      </c>
      <c r="E51" s="1">
        <v>7.73</v>
      </c>
      <c r="F51" s="1">
        <v>8.43</v>
      </c>
      <c r="G51" s="8">
        <f>(F51-F52)/F52</f>
        <v>0.45094664371772808</v>
      </c>
      <c r="H51" s="8">
        <f>F51/$F$55</f>
        <v>6.0990167777223098E-3</v>
      </c>
      <c r="I51" s="1">
        <v>2.62</v>
      </c>
    </row>
    <row r="52" spans="1:9" x14ac:dyDescent="0.3">
      <c r="A52" s="1" t="s">
        <v>10</v>
      </c>
      <c r="B52" s="1">
        <v>0.48</v>
      </c>
      <c r="C52" s="4">
        <v>0</v>
      </c>
      <c r="D52" s="1">
        <v>0.11</v>
      </c>
      <c r="E52" s="1">
        <v>5.22</v>
      </c>
      <c r="F52" s="1">
        <v>5.81</v>
      </c>
      <c r="G52" s="1"/>
      <c r="H52" s="1"/>
      <c r="I52" s="1"/>
    </row>
    <row r="53" spans="1:9" x14ac:dyDescent="0.3">
      <c r="A53" s="1" t="s">
        <v>33</v>
      </c>
      <c r="B53" s="4">
        <v>0</v>
      </c>
      <c r="C53" s="4">
        <v>0</v>
      </c>
      <c r="D53" s="4">
        <v>0</v>
      </c>
      <c r="E53" s="4">
        <v>0</v>
      </c>
      <c r="F53" s="4">
        <v>0</v>
      </c>
      <c r="G53" s="8"/>
      <c r="H53" s="4">
        <v>0</v>
      </c>
      <c r="I53" s="1"/>
    </row>
    <row r="54" spans="1:9" x14ac:dyDescent="0.3">
      <c r="A54" s="1" t="s">
        <v>10</v>
      </c>
      <c r="B54" s="1">
        <v>0.02</v>
      </c>
      <c r="C54" s="4">
        <v>0</v>
      </c>
      <c r="D54" s="4">
        <v>0</v>
      </c>
      <c r="E54" s="4">
        <v>0</v>
      </c>
      <c r="F54" s="1">
        <v>0.02</v>
      </c>
      <c r="G54" s="1"/>
      <c r="H54" s="1"/>
      <c r="I54" s="1"/>
    </row>
    <row r="55" spans="1:9" x14ac:dyDescent="0.3">
      <c r="A55" s="3" t="s">
        <v>34</v>
      </c>
      <c r="B55" s="5">
        <f t="shared" ref="B55:F55" si="0">SUM(B5+B7+B9+B11+B13+B15+B17+B19+B21+B23+B25+B27+B29+B31+B33+B35+B37+B39+B41+B43+B45+B47+B49+B51+B53)</f>
        <v>188.94</v>
      </c>
      <c r="C55" s="5">
        <f t="shared" si="0"/>
        <v>45.489999999999995</v>
      </c>
      <c r="D55" s="5">
        <f t="shared" si="0"/>
        <v>54.73</v>
      </c>
      <c r="E55" s="5">
        <f t="shared" si="0"/>
        <v>1093.03</v>
      </c>
      <c r="F55" s="5">
        <f t="shared" si="0"/>
        <v>1382.19</v>
      </c>
      <c r="G55" s="9">
        <f>(F55-F56)/F56</f>
        <v>9.6323616894705574E-2</v>
      </c>
      <c r="H55" s="9">
        <f>F55/$F$55</f>
        <v>1</v>
      </c>
      <c r="I55" s="5">
        <f t="shared" ref="I55" si="1">SUM(I5+I7+I9+I11+I13+I15+I17+I19+I21+I23+I25+I27+I29+I31+I33+I35+I37+I39+I41+I43+I45+I47+I49+I51+I53)</f>
        <v>121.46000000000001</v>
      </c>
    </row>
    <row r="56" spans="1:9" x14ac:dyDescent="0.3">
      <c r="A56" s="1" t="s">
        <v>35</v>
      </c>
      <c r="B56" s="10">
        <f>SUM(B6+B8+B10+B12+B14+B16+B18+B20+B22+B24+B26+B28+B30+B32+B34+B36+B38+B40+B42+B44+B46+B48+B50+B52+B54)</f>
        <v>161.60000000000002</v>
      </c>
      <c r="C56" s="10">
        <f>SUM(C6+C8+C10+C12+C14+C16+C18+C20+C22+C24+C26+C28+C30+C32+C34+C36+C38+C40+C42+C44+C46+C48+C50+C52+C54)</f>
        <v>22.63000000000001</v>
      </c>
      <c r="D56" s="10">
        <f>SUM(D6+D8+D10+D12+D14+D16+D18+D20+D22+D24+D26+D28+D30+D32+D34+D36+D38+D40+D42+D44+D46+D48+D50+D52+D54)</f>
        <v>46.25</v>
      </c>
      <c r="E56" s="10">
        <f>SUM(E6+E8+E10+E12+E14+E16+E18+E20+E22+E24+E26+E28+E30+E32+E34+E36+E38+E40+E42+E44+E46+E48+E50+E52+E54)</f>
        <v>1030.27</v>
      </c>
      <c r="F56" s="10">
        <f>SUM(F6+F8+F10+F12+F14+F16+F18+F20+F22+F24+F26+F28+F30+F32+F34+F36+F38+F40+F42+F44+F46+F48+F50+F52+F54)</f>
        <v>1260.75</v>
      </c>
      <c r="G56" s="1"/>
      <c r="H56" s="1"/>
      <c r="I56" s="1"/>
    </row>
    <row r="57" spans="1:9" x14ac:dyDescent="0.3">
      <c r="A57" s="1" t="s">
        <v>36</v>
      </c>
      <c r="B57" s="8">
        <f>(B55-B56)/B56</f>
        <v>0.1691831683168315</v>
      </c>
      <c r="C57" s="8">
        <f t="shared" ref="C57:F57" si="2">(C55-C56)/C56</f>
        <v>1.0101634997790532</v>
      </c>
      <c r="D57" s="8">
        <f t="shared" si="2"/>
        <v>0.18335135135135128</v>
      </c>
      <c r="E57" s="8">
        <f t="shared" si="2"/>
        <v>6.0916070544614509E-2</v>
      </c>
      <c r="F57" s="8">
        <f t="shared" si="2"/>
        <v>9.6323616894705574E-2</v>
      </c>
      <c r="G57" s="1"/>
      <c r="H57" s="1"/>
      <c r="I57" s="1"/>
    </row>
    <row r="58" spans="1:9" x14ac:dyDescent="0.3">
      <c r="A58" s="1" t="s">
        <v>46</v>
      </c>
      <c r="B58" s="8">
        <f>B55/$F$55</f>
        <v>0.13669611269072993</v>
      </c>
      <c r="C58" s="8">
        <f t="shared" ref="C58:F58" si="3">C55/$F$55</f>
        <v>3.2911538934589306E-2</v>
      </c>
      <c r="D58" s="8">
        <f t="shared" si="3"/>
        <v>3.9596582235437959E-2</v>
      </c>
      <c r="E58" s="8">
        <f t="shared" si="3"/>
        <v>0.79079576613924274</v>
      </c>
      <c r="F58" s="8">
        <f t="shared" si="3"/>
        <v>1</v>
      </c>
      <c r="G58" s="1"/>
      <c r="H58" s="1"/>
      <c r="I58" s="1"/>
    </row>
    <row r="59" spans="1:9" x14ac:dyDescent="0.3">
      <c r="A59" s="1" t="s">
        <v>47</v>
      </c>
      <c r="B59" s="8">
        <f>B56/$F$56</f>
        <v>0.12817767202062266</v>
      </c>
      <c r="C59" s="8">
        <f t="shared" ref="C59:F59" si="4">C56/$F$56</f>
        <v>1.7949633154868142E-2</v>
      </c>
      <c r="D59" s="8">
        <f t="shared" si="4"/>
        <v>3.6684513186595283E-2</v>
      </c>
      <c r="E59" s="8">
        <f t="shared" si="4"/>
        <v>0.81718818163791396</v>
      </c>
      <c r="F59" s="8">
        <f t="shared" si="4"/>
        <v>1</v>
      </c>
      <c r="G59" s="1"/>
      <c r="H59" s="1"/>
      <c r="I59" s="1"/>
    </row>
    <row r="61" spans="1:9" ht="58.2" customHeight="1" x14ac:dyDescent="0.3">
      <c r="A61" s="17" t="s">
        <v>76</v>
      </c>
      <c r="B61" s="17"/>
      <c r="C61" s="17"/>
      <c r="D61" s="17"/>
      <c r="E61" s="17"/>
      <c r="F61" s="17"/>
      <c r="G61" s="17"/>
      <c r="H61" s="17"/>
      <c r="I61" s="17"/>
    </row>
  </sheetData>
  <mergeCells count="2">
    <mergeCell ref="A2:I2"/>
    <mergeCell ref="A61:I6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1"/>
  <sheetViews>
    <sheetView topLeftCell="A65" workbookViewId="0">
      <selection activeCell="B43" sqref="B43:B45"/>
    </sheetView>
  </sheetViews>
  <sheetFormatPr defaultRowHeight="14.4" x14ac:dyDescent="0.3"/>
  <cols>
    <col min="1" max="1" width="40.109375" customWidth="1"/>
    <col min="2" max="2" width="11.6640625" customWidth="1"/>
    <col min="3" max="3" width="10.21875" customWidth="1"/>
    <col min="4" max="4" width="12.77734375" customWidth="1"/>
    <col min="5" max="5" width="12" customWidth="1"/>
    <col min="6" max="6" width="10.5546875" customWidth="1"/>
    <col min="7" max="7" width="10.21875" customWidth="1"/>
    <col min="8" max="8" width="10.109375" customWidth="1"/>
  </cols>
  <sheetData>
    <row r="1" spans="1:13" ht="56.4" customHeight="1" x14ac:dyDescent="0.3">
      <c r="A1" s="16" t="s">
        <v>74</v>
      </c>
      <c r="B1" s="16"/>
      <c r="C1" s="16"/>
      <c r="D1" s="16"/>
      <c r="E1" s="16"/>
      <c r="F1" s="16"/>
      <c r="G1" s="16"/>
      <c r="H1" s="16"/>
    </row>
    <row r="2" spans="1:13" ht="31.2" customHeight="1" x14ac:dyDescent="0.3">
      <c r="A2" s="2"/>
      <c r="B2" s="2" t="s">
        <v>52</v>
      </c>
      <c r="C2" s="2" t="s">
        <v>53</v>
      </c>
      <c r="D2" s="2" t="s">
        <v>54</v>
      </c>
      <c r="E2" s="2" t="s">
        <v>4</v>
      </c>
      <c r="F2" s="2" t="s">
        <v>5</v>
      </c>
      <c r="G2" s="2" t="s">
        <v>6</v>
      </c>
      <c r="H2" s="2" t="s">
        <v>7</v>
      </c>
    </row>
    <row r="3" spans="1:13" x14ac:dyDescent="0.3">
      <c r="A3" s="3" t="s">
        <v>8</v>
      </c>
      <c r="B3" s="1"/>
      <c r="C3" s="1"/>
      <c r="D3" s="1"/>
      <c r="E3" s="1"/>
      <c r="F3" s="1"/>
      <c r="G3" s="1"/>
      <c r="H3" s="1"/>
    </row>
    <row r="4" spans="1:13" x14ac:dyDescent="0.3">
      <c r="A4" s="1" t="s">
        <v>9</v>
      </c>
      <c r="B4" s="4">
        <v>0</v>
      </c>
      <c r="C4" s="4">
        <v>0</v>
      </c>
      <c r="D4" s="1">
        <v>13.61</v>
      </c>
      <c r="E4" s="1">
        <v>13.61</v>
      </c>
      <c r="F4" s="8">
        <f>(E4-E5)/E5</f>
        <v>0.24519670631290025</v>
      </c>
      <c r="G4" s="8">
        <f>E4/$E$65</f>
        <v>5.6059676163722266E-3</v>
      </c>
      <c r="H4" s="1">
        <v>2.68</v>
      </c>
      <c r="M4" s="11"/>
    </row>
    <row r="5" spans="1:13" x14ac:dyDescent="0.3">
      <c r="A5" s="1" t="s">
        <v>10</v>
      </c>
      <c r="B5" s="4">
        <v>0</v>
      </c>
      <c r="C5" s="4">
        <v>0</v>
      </c>
      <c r="D5" s="1">
        <v>10.93</v>
      </c>
      <c r="E5" s="1">
        <v>10.93</v>
      </c>
      <c r="F5" s="1"/>
      <c r="G5" s="1"/>
      <c r="H5" s="1"/>
    </row>
    <row r="6" spans="1:13" x14ac:dyDescent="0.3">
      <c r="A6" s="1" t="s">
        <v>11</v>
      </c>
      <c r="B6" s="1">
        <v>62.68</v>
      </c>
      <c r="C6" s="1">
        <v>4.63</v>
      </c>
      <c r="D6" s="1">
        <v>179.34</v>
      </c>
      <c r="E6" s="1">
        <v>246.65</v>
      </c>
      <c r="F6" s="8">
        <f>(E6-E7)/E7</f>
        <v>-4.4362650135606418E-2</v>
      </c>
      <c r="G6" s="8">
        <f>E6/$E$65</f>
        <v>0.1015952911519625</v>
      </c>
      <c r="H6" s="1">
        <v>-11.45</v>
      </c>
    </row>
    <row r="7" spans="1:13" x14ac:dyDescent="0.3">
      <c r="A7" s="1" t="s">
        <v>10</v>
      </c>
      <c r="B7" s="1">
        <v>-4.93</v>
      </c>
      <c r="C7" s="1">
        <v>2.99</v>
      </c>
      <c r="D7" s="1">
        <v>260.04000000000002</v>
      </c>
      <c r="E7" s="1">
        <v>258.10000000000002</v>
      </c>
      <c r="F7" s="1"/>
      <c r="G7" s="1"/>
      <c r="H7" s="1"/>
    </row>
    <row r="8" spans="1:13" x14ac:dyDescent="0.3">
      <c r="A8" s="1" t="s">
        <v>12</v>
      </c>
      <c r="B8" s="1">
        <v>0.63</v>
      </c>
      <c r="C8" s="4">
        <v>0</v>
      </c>
      <c r="D8" s="1">
        <v>7.93</v>
      </c>
      <c r="E8" s="1">
        <v>8.56</v>
      </c>
      <c r="F8" s="8">
        <f>(E8-E9)/E9</f>
        <v>-0.86049543676662321</v>
      </c>
      <c r="G8" s="8">
        <f>E8/$E$65</f>
        <v>3.5258694192612976E-3</v>
      </c>
      <c r="H8" s="1">
        <v>-52.8</v>
      </c>
    </row>
    <row r="9" spans="1:13" x14ac:dyDescent="0.3">
      <c r="A9" s="1" t="s">
        <v>10</v>
      </c>
      <c r="B9" s="1">
        <v>48.56</v>
      </c>
      <c r="C9" s="4">
        <v>0</v>
      </c>
      <c r="D9" s="1">
        <v>12.8</v>
      </c>
      <c r="E9" s="1">
        <v>61.36</v>
      </c>
      <c r="F9" s="1"/>
      <c r="G9" s="1"/>
      <c r="H9" s="1"/>
    </row>
    <row r="10" spans="1:13" x14ac:dyDescent="0.3">
      <c r="A10" s="1" t="s">
        <v>13</v>
      </c>
      <c r="B10" s="1">
        <v>-3.75</v>
      </c>
      <c r="C10" s="4">
        <v>0</v>
      </c>
      <c r="D10" s="1">
        <v>41.36</v>
      </c>
      <c r="E10" s="1">
        <v>37.61</v>
      </c>
      <c r="F10" s="8">
        <f>(E10-E11)/E11</f>
        <v>-0.41915057915057918</v>
      </c>
      <c r="G10" s="8">
        <f>E10/$E$65</f>
        <v>1.549158281056278E-2</v>
      </c>
      <c r="H10" s="1">
        <v>-27.14</v>
      </c>
    </row>
    <row r="11" spans="1:13" x14ac:dyDescent="0.3">
      <c r="A11" s="1" t="s">
        <v>10</v>
      </c>
      <c r="B11" s="1">
        <v>0.56000000000000005</v>
      </c>
      <c r="C11" s="4">
        <v>0</v>
      </c>
      <c r="D11" s="1">
        <v>64.19</v>
      </c>
      <c r="E11" s="1">
        <v>64.75</v>
      </c>
      <c r="F11" s="1"/>
      <c r="G11" s="1"/>
      <c r="H11" s="1"/>
    </row>
    <row r="12" spans="1:13" x14ac:dyDescent="0.3">
      <c r="A12" s="1" t="s">
        <v>14</v>
      </c>
      <c r="B12" s="4">
        <v>0</v>
      </c>
      <c r="C12" s="4">
        <v>0</v>
      </c>
      <c r="D12" s="1">
        <v>48.14</v>
      </c>
      <c r="E12" s="1">
        <v>48.14</v>
      </c>
      <c r="F12" s="8">
        <f>(E12-E13)/E13</f>
        <v>-0.26604665345327033</v>
      </c>
      <c r="G12" s="8">
        <f>E12/$E$65</f>
        <v>1.9828896477013885E-2</v>
      </c>
      <c r="H12" s="1">
        <v>-17.45</v>
      </c>
    </row>
    <row r="13" spans="1:13" x14ac:dyDescent="0.3">
      <c r="A13" s="1" t="s">
        <v>10</v>
      </c>
      <c r="B13" s="4">
        <v>0</v>
      </c>
      <c r="C13" s="4">
        <v>0</v>
      </c>
      <c r="D13" s="1">
        <v>65.59</v>
      </c>
      <c r="E13" s="1">
        <v>65.59</v>
      </c>
      <c r="F13" s="1"/>
      <c r="G13" s="1"/>
      <c r="H13" s="1"/>
    </row>
    <row r="14" spans="1:13" x14ac:dyDescent="0.3">
      <c r="A14" s="1" t="s">
        <v>15</v>
      </c>
      <c r="B14" s="1">
        <v>9.7200000000000006</v>
      </c>
      <c r="C14" s="1">
        <v>35.94</v>
      </c>
      <c r="D14" s="1">
        <v>26.92</v>
      </c>
      <c r="E14" s="1">
        <v>72.58</v>
      </c>
      <c r="F14" s="8">
        <f>(E14-E15)/E15</f>
        <v>-0.25810078707962791</v>
      </c>
      <c r="G14" s="8">
        <f>E14/$E$65</f>
        <v>2.9895747949764597E-2</v>
      </c>
      <c r="H14" s="1">
        <v>-25.25</v>
      </c>
    </row>
    <row r="15" spans="1:13" x14ac:dyDescent="0.3">
      <c r="A15" s="1" t="s">
        <v>10</v>
      </c>
      <c r="B15" s="1">
        <v>-10.45</v>
      </c>
      <c r="C15" s="1">
        <v>30.85</v>
      </c>
      <c r="D15" s="1">
        <v>77.430000000000007</v>
      </c>
      <c r="E15" s="1">
        <v>97.83</v>
      </c>
      <c r="F15" s="1"/>
      <c r="G15" s="1"/>
      <c r="H15" s="1"/>
    </row>
    <row r="16" spans="1:13" x14ac:dyDescent="0.3">
      <c r="A16" s="1" t="s">
        <v>16</v>
      </c>
      <c r="B16" s="1">
        <v>10.88</v>
      </c>
      <c r="C16" s="1">
        <v>26.5</v>
      </c>
      <c r="D16" s="1">
        <v>121.21</v>
      </c>
      <c r="E16" s="1">
        <v>158.59</v>
      </c>
      <c r="F16" s="8">
        <f>(E16-E17)/E17</f>
        <v>0.12292005947744825</v>
      </c>
      <c r="G16" s="8">
        <f>E16/$E$65</f>
        <v>6.5323321401944995E-2</v>
      </c>
      <c r="H16" s="1">
        <v>17.36</v>
      </c>
    </row>
    <row r="17" spans="1:8" x14ac:dyDescent="0.3">
      <c r="A17" s="1" t="s">
        <v>10</v>
      </c>
      <c r="B17" s="1">
        <v>5.76</v>
      </c>
      <c r="C17" s="1">
        <v>14.99</v>
      </c>
      <c r="D17" s="1">
        <v>120.48</v>
      </c>
      <c r="E17" s="1">
        <v>141.22999999999999</v>
      </c>
      <c r="F17" s="1"/>
      <c r="G17" s="1"/>
      <c r="H17" s="1"/>
    </row>
    <row r="18" spans="1:8" x14ac:dyDescent="0.3">
      <c r="A18" s="1" t="s">
        <v>17</v>
      </c>
      <c r="B18" s="1">
        <v>0.06</v>
      </c>
      <c r="C18" s="1">
        <v>8.3800000000000008</v>
      </c>
      <c r="D18" s="1">
        <v>116.46</v>
      </c>
      <c r="E18" s="1">
        <v>124.9</v>
      </c>
      <c r="F18" s="8">
        <f>(E18-E19)/E19</f>
        <v>9.898812142542894E-2</v>
      </c>
      <c r="G18" s="8">
        <f>E18/$E$65</f>
        <v>5.1446389073100007E-2</v>
      </c>
      <c r="H18" s="1">
        <v>11.25</v>
      </c>
    </row>
    <row r="19" spans="1:8" x14ac:dyDescent="0.3">
      <c r="A19" s="1" t="s">
        <v>10</v>
      </c>
      <c r="B19" s="1">
        <v>1.54</v>
      </c>
      <c r="C19" s="1">
        <v>8.66</v>
      </c>
      <c r="D19" s="1">
        <v>103.45</v>
      </c>
      <c r="E19" s="1">
        <v>113.65</v>
      </c>
      <c r="F19" s="1"/>
      <c r="G19" s="1"/>
      <c r="H19" s="1"/>
    </row>
    <row r="20" spans="1:8" x14ac:dyDescent="0.3">
      <c r="A20" s="1" t="s">
        <v>75</v>
      </c>
      <c r="B20" s="4">
        <v>0</v>
      </c>
      <c r="C20" s="4">
        <v>0</v>
      </c>
      <c r="D20" s="1">
        <v>6.04</v>
      </c>
      <c r="E20" s="1">
        <v>6.04</v>
      </c>
      <c r="F20" s="8">
        <f>(E20-E21)/E21</f>
        <v>-0.15760111576011157</v>
      </c>
      <c r="G20" s="8">
        <f>E20/$E$65</f>
        <v>2.4878798238712895E-3</v>
      </c>
      <c r="H20" s="1">
        <v>-1.1299999999999999</v>
      </c>
    </row>
    <row r="21" spans="1:8" x14ac:dyDescent="0.3">
      <c r="A21" s="1" t="s">
        <v>10</v>
      </c>
      <c r="B21" s="4">
        <v>0</v>
      </c>
      <c r="C21" s="4">
        <v>0</v>
      </c>
      <c r="D21" s="1">
        <v>7.17</v>
      </c>
      <c r="E21" s="1">
        <v>7.17</v>
      </c>
      <c r="F21" s="1"/>
      <c r="G21" s="1"/>
      <c r="H21" s="1"/>
    </row>
    <row r="22" spans="1:8" x14ac:dyDescent="0.3">
      <c r="A22" s="1" t="s">
        <v>18</v>
      </c>
      <c r="B22" s="1">
        <v>345.63</v>
      </c>
      <c r="C22" s="4">
        <v>0</v>
      </c>
      <c r="D22" s="4">
        <v>0</v>
      </c>
      <c r="E22" s="1">
        <v>345.63</v>
      </c>
      <c r="F22" s="8">
        <f>(E22-E23)/E23</f>
        <v>0.22781527531083479</v>
      </c>
      <c r="G22" s="8">
        <f>E22/$E$65</f>
        <v>0.1423652158153367</v>
      </c>
      <c r="H22" s="1">
        <v>64.13</v>
      </c>
    </row>
    <row r="23" spans="1:8" x14ac:dyDescent="0.3">
      <c r="A23" s="1" t="s">
        <v>10</v>
      </c>
      <c r="B23" s="1">
        <v>281.5</v>
      </c>
      <c r="C23" s="4">
        <v>0</v>
      </c>
      <c r="D23" s="4">
        <v>0</v>
      </c>
      <c r="E23" s="1">
        <v>281.5</v>
      </c>
      <c r="F23" s="1"/>
      <c r="G23" s="1"/>
      <c r="H23" s="1"/>
    </row>
    <row r="24" spans="1:8" x14ac:dyDescent="0.3">
      <c r="A24" s="1" t="s">
        <v>19</v>
      </c>
      <c r="B24" s="4">
        <v>0</v>
      </c>
      <c r="C24" s="4">
        <v>0</v>
      </c>
      <c r="D24" s="1">
        <v>15.9</v>
      </c>
      <c r="E24" s="1">
        <v>15.9</v>
      </c>
      <c r="F24" s="8">
        <f>(E24-E25)/E25</f>
        <v>-0.25211665098777047</v>
      </c>
      <c r="G24" s="8">
        <f>E24/$E$65</f>
        <v>6.5492200661512422E-3</v>
      </c>
      <c r="H24" s="1">
        <v>-5.36</v>
      </c>
    </row>
    <row r="25" spans="1:8" x14ac:dyDescent="0.3">
      <c r="A25" s="1" t="s">
        <v>10</v>
      </c>
      <c r="B25" s="4">
        <v>0</v>
      </c>
      <c r="C25" s="4">
        <v>0</v>
      </c>
      <c r="D25" s="1">
        <v>21.26</v>
      </c>
      <c r="E25" s="1">
        <v>21.26</v>
      </c>
      <c r="F25" s="1"/>
      <c r="G25" s="1"/>
      <c r="H25" s="1"/>
    </row>
    <row r="26" spans="1:8" x14ac:dyDescent="0.3">
      <c r="A26" s="1" t="s">
        <v>20</v>
      </c>
      <c r="B26" s="4">
        <v>0</v>
      </c>
      <c r="C26" s="4">
        <v>0</v>
      </c>
      <c r="D26" s="1">
        <v>2.76</v>
      </c>
      <c r="E26" s="1">
        <v>2.76</v>
      </c>
      <c r="F26" s="8">
        <f>(E26-E27)/E27</f>
        <v>1.1230769230769229</v>
      </c>
      <c r="G26" s="8">
        <f>E26/$E$65</f>
        <v>1.1368457473319136E-3</v>
      </c>
      <c r="H26" s="1">
        <v>1.46</v>
      </c>
    </row>
    <row r="27" spans="1:8" x14ac:dyDescent="0.3">
      <c r="A27" s="1" t="s">
        <v>10</v>
      </c>
      <c r="B27" s="4">
        <v>0</v>
      </c>
      <c r="C27" s="4">
        <v>0</v>
      </c>
      <c r="D27" s="1">
        <v>1.3</v>
      </c>
      <c r="E27" s="1">
        <v>1.3</v>
      </c>
      <c r="F27" s="1"/>
      <c r="G27" s="1"/>
      <c r="H27" s="1"/>
    </row>
    <row r="28" spans="1:8" x14ac:dyDescent="0.3">
      <c r="A28" s="1" t="s">
        <v>21</v>
      </c>
      <c r="B28" s="4">
        <v>0</v>
      </c>
      <c r="C28" s="4">
        <v>0</v>
      </c>
      <c r="D28" s="1">
        <v>154.22</v>
      </c>
      <c r="E28" s="1">
        <v>154.22</v>
      </c>
      <c r="F28" s="8">
        <f>(E28-E29)/E29</f>
        <v>-1.8894331700489847E-2</v>
      </c>
      <c r="G28" s="8">
        <f>E28/$E$65</f>
        <v>6.3523315635336128E-2</v>
      </c>
      <c r="H28" s="1">
        <v>-2.97</v>
      </c>
    </row>
    <row r="29" spans="1:8" x14ac:dyDescent="0.3">
      <c r="A29" s="1" t="s">
        <v>10</v>
      </c>
      <c r="B29" s="1">
        <v>0.01</v>
      </c>
      <c r="C29" s="4">
        <v>0</v>
      </c>
      <c r="D29" s="1">
        <v>157.18</v>
      </c>
      <c r="E29" s="1">
        <v>157.19</v>
      </c>
      <c r="F29" s="1"/>
      <c r="G29" s="1"/>
      <c r="H29" s="1"/>
    </row>
    <row r="30" spans="1:8" x14ac:dyDescent="0.3">
      <c r="A30" s="1" t="s">
        <v>22</v>
      </c>
      <c r="B30" s="4">
        <v>0</v>
      </c>
      <c r="C30" s="4">
        <v>0</v>
      </c>
      <c r="D30" s="4">
        <v>0</v>
      </c>
      <c r="E30" s="4">
        <v>0</v>
      </c>
      <c r="F30" s="4">
        <v>0</v>
      </c>
      <c r="G30" s="4">
        <v>0</v>
      </c>
      <c r="H30" s="4">
        <v>0</v>
      </c>
    </row>
    <row r="31" spans="1:8" x14ac:dyDescent="0.3">
      <c r="A31" s="1" t="s">
        <v>10</v>
      </c>
      <c r="B31" s="4">
        <v>0</v>
      </c>
      <c r="C31" s="4">
        <v>0</v>
      </c>
      <c r="D31" s="4">
        <v>0</v>
      </c>
      <c r="E31" s="4">
        <v>0</v>
      </c>
      <c r="F31" s="4"/>
      <c r="G31" s="4"/>
      <c r="H31" s="4"/>
    </row>
    <row r="32" spans="1:8" x14ac:dyDescent="0.3">
      <c r="A32" s="1" t="s">
        <v>23</v>
      </c>
      <c r="B32" s="4">
        <v>0</v>
      </c>
      <c r="C32" s="4">
        <v>0</v>
      </c>
      <c r="D32" s="1">
        <v>0.03</v>
      </c>
      <c r="E32" s="1">
        <v>0.03</v>
      </c>
      <c r="F32" s="4">
        <v>0</v>
      </c>
      <c r="G32" s="4">
        <v>0</v>
      </c>
      <c r="H32" s="4">
        <v>0</v>
      </c>
    </row>
    <row r="33" spans="1:8" x14ac:dyDescent="0.3">
      <c r="A33" s="1" t="s">
        <v>10</v>
      </c>
      <c r="B33" s="4">
        <v>0</v>
      </c>
      <c r="C33" s="4">
        <v>0</v>
      </c>
      <c r="D33" s="1">
        <v>0.03</v>
      </c>
      <c r="E33" s="1">
        <v>0.03</v>
      </c>
      <c r="F33" s="1"/>
      <c r="G33" s="1"/>
      <c r="H33" s="1"/>
    </row>
    <row r="34" spans="1:8" x14ac:dyDescent="0.3">
      <c r="A34" s="1" t="s">
        <v>24</v>
      </c>
      <c r="B34" s="1">
        <v>69.540000000000006</v>
      </c>
      <c r="C34" s="4">
        <v>0</v>
      </c>
      <c r="D34" s="1">
        <v>24.97</v>
      </c>
      <c r="E34" s="1">
        <v>94.51</v>
      </c>
      <c r="F34" s="8">
        <f>(E34-E35)/E35</f>
        <v>-0.63901302471257782</v>
      </c>
      <c r="G34" s="8">
        <f>E34/$E$65</f>
        <v>3.8928728833456216E-2</v>
      </c>
      <c r="H34" s="1">
        <v>-167.3</v>
      </c>
    </row>
    <row r="35" spans="1:8" x14ac:dyDescent="0.3">
      <c r="A35" s="1" t="s">
        <v>10</v>
      </c>
      <c r="B35" s="1">
        <v>245.63</v>
      </c>
      <c r="C35" s="4">
        <v>0</v>
      </c>
      <c r="D35" s="1">
        <v>16.18</v>
      </c>
      <c r="E35" s="1">
        <v>261.81</v>
      </c>
      <c r="F35" s="1"/>
      <c r="G35" s="1"/>
      <c r="H35" s="1"/>
    </row>
    <row r="36" spans="1:8" x14ac:dyDescent="0.3">
      <c r="A36" s="1" t="s">
        <v>25</v>
      </c>
      <c r="B36" s="4">
        <v>0</v>
      </c>
      <c r="C36" s="4">
        <v>0</v>
      </c>
      <c r="D36" s="1">
        <v>4.21</v>
      </c>
      <c r="E36" s="1">
        <v>4.21</v>
      </c>
      <c r="F36" s="8">
        <f>(E36-E37)/E37</f>
        <v>-2.0930232558139503E-2</v>
      </c>
      <c r="G36" s="8">
        <f>E36/$E$65</f>
        <v>1.7341016653142597E-3</v>
      </c>
      <c r="H36" s="1">
        <v>-0.09</v>
      </c>
    </row>
    <row r="37" spans="1:8" x14ac:dyDescent="0.3">
      <c r="A37" s="1" t="s">
        <v>10</v>
      </c>
      <c r="B37" s="4">
        <v>0</v>
      </c>
      <c r="C37" s="4">
        <v>0</v>
      </c>
      <c r="D37" s="1">
        <v>4.3</v>
      </c>
      <c r="E37" s="1">
        <v>4.3</v>
      </c>
      <c r="F37" s="1"/>
      <c r="G37" s="1"/>
      <c r="H37" s="1"/>
    </row>
    <row r="38" spans="1:8" x14ac:dyDescent="0.3">
      <c r="A38" s="1" t="s">
        <v>26</v>
      </c>
      <c r="B38" s="1">
        <v>4.22</v>
      </c>
      <c r="C38" s="1">
        <v>4.42</v>
      </c>
      <c r="D38" s="1">
        <v>37.79</v>
      </c>
      <c r="E38" s="1">
        <v>46.43</v>
      </c>
      <c r="F38" s="8">
        <f>(E38-E39)/E39</f>
        <v>-0.13634672619047616</v>
      </c>
      <c r="G38" s="8">
        <f>E38/$E$65</f>
        <v>1.9124546394427809E-2</v>
      </c>
      <c r="H38" s="1">
        <v>-7.33</v>
      </c>
    </row>
    <row r="39" spans="1:8" x14ac:dyDescent="0.3">
      <c r="A39" s="1" t="s">
        <v>10</v>
      </c>
      <c r="B39" s="1">
        <v>23.5</v>
      </c>
      <c r="C39" s="1">
        <v>2.95</v>
      </c>
      <c r="D39" s="1">
        <v>27.31</v>
      </c>
      <c r="E39" s="1">
        <v>53.76</v>
      </c>
      <c r="F39" s="1"/>
      <c r="G39" s="1"/>
      <c r="H39" s="1"/>
    </row>
    <row r="40" spans="1:8" x14ac:dyDescent="0.3">
      <c r="A40" s="1" t="s">
        <v>27</v>
      </c>
      <c r="B40" s="4">
        <v>0</v>
      </c>
      <c r="C40" s="4">
        <v>0</v>
      </c>
      <c r="D40" s="1">
        <v>9.66</v>
      </c>
      <c r="E40" s="1">
        <v>9.66</v>
      </c>
      <c r="F40" s="8">
        <f>(E40-E41)/E41</f>
        <v>2.2635135135135136</v>
      </c>
      <c r="G40" s="8">
        <f>E40/$E$65</f>
        <v>3.9789601156616982E-3</v>
      </c>
      <c r="H40" s="1">
        <v>6.7</v>
      </c>
    </row>
    <row r="41" spans="1:8" x14ac:dyDescent="0.3">
      <c r="A41" s="1" t="s">
        <v>10</v>
      </c>
      <c r="B41" s="4">
        <v>0</v>
      </c>
      <c r="C41" s="4">
        <v>0</v>
      </c>
      <c r="D41" s="1">
        <v>2.96</v>
      </c>
      <c r="E41" s="1">
        <v>2.96</v>
      </c>
      <c r="F41" s="1"/>
      <c r="G41" s="1"/>
      <c r="H41" s="1"/>
    </row>
    <row r="42" spans="1:8" x14ac:dyDescent="0.3">
      <c r="A42" s="1" t="s">
        <v>28</v>
      </c>
      <c r="B42" s="1">
        <v>-0.02</v>
      </c>
      <c r="C42" s="1">
        <v>54.48</v>
      </c>
      <c r="D42" s="1">
        <v>130.82</v>
      </c>
      <c r="E42" s="1">
        <v>185.28</v>
      </c>
      <c r="F42" s="8">
        <f>(E42-E43)/E43</f>
        <v>1.0741072428075675</v>
      </c>
      <c r="G42" s="8">
        <f>E42/$E$65</f>
        <v>7.6316949299151074E-2</v>
      </c>
      <c r="H42" s="1">
        <v>95.95</v>
      </c>
    </row>
    <row r="43" spans="1:8" x14ac:dyDescent="0.3">
      <c r="A43" s="1" t="s">
        <v>10</v>
      </c>
      <c r="B43" s="4">
        <v>0</v>
      </c>
      <c r="C43" s="1">
        <v>24.09</v>
      </c>
      <c r="D43" s="1">
        <v>65.239999999999995</v>
      </c>
      <c r="E43" s="1">
        <v>89.33</v>
      </c>
      <c r="F43" s="1"/>
      <c r="G43" s="1"/>
      <c r="H43" s="1"/>
    </row>
    <row r="44" spans="1:8" x14ac:dyDescent="0.3">
      <c r="A44" s="1" t="s">
        <v>29</v>
      </c>
      <c r="B44" s="4">
        <v>0</v>
      </c>
      <c r="C44" s="1">
        <v>59.23</v>
      </c>
      <c r="D44" s="1">
        <v>345.73</v>
      </c>
      <c r="E44" s="1">
        <v>404.96</v>
      </c>
      <c r="F44" s="8">
        <f>(E44-E45)/E45</f>
        <v>0.11623804404752049</v>
      </c>
      <c r="G44" s="8">
        <f>E44/$E$65</f>
        <v>0.16680328037664194</v>
      </c>
      <c r="H44" s="1">
        <v>42.17</v>
      </c>
    </row>
    <row r="45" spans="1:8" x14ac:dyDescent="0.3">
      <c r="A45" s="1" t="s">
        <v>10</v>
      </c>
      <c r="B45" s="4">
        <v>0</v>
      </c>
      <c r="C45" s="1">
        <v>52.27</v>
      </c>
      <c r="D45" s="1">
        <v>310.52</v>
      </c>
      <c r="E45" s="1">
        <v>362.79</v>
      </c>
      <c r="F45" s="1"/>
      <c r="G45" s="1"/>
      <c r="H45" s="1"/>
    </row>
    <row r="46" spans="1:8" x14ac:dyDescent="0.3">
      <c r="A46" s="1" t="s">
        <v>30</v>
      </c>
      <c r="B46" s="1">
        <v>14.48</v>
      </c>
      <c r="C46" s="4">
        <v>0</v>
      </c>
      <c r="D46" s="1">
        <v>65.400000000000006</v>
      </c>
      <c r="E46" s="1">
        <v>79.88</v>
      </c>
      <c r="F46" s="8">
        <f>(E46-E47)/E47</f>
        <v>0.5827224093520903</v>
      </c>
      <c r="G46" s="8">
        <f>E46/$E$65</f>
        <v>3.2902622571330892E-2</v>
      </c>
      <c r="H46" s="1">
        <v>29.41</v>
      </c>
    </row>
    <row r="47" spans="1:8" x14ac:dyDescent="0.3">
      <c r="A47" s="1" t="s">
        <v>10</v>
      </c>
      <c r="B47" s="1">
        <v>-40.46</v>
      </c>
      <c r="C47" s="4">
        <v>0</v>
      </c>
      <c r="D47" s="1">
        <v>90.93</v>
      </c>
      <c r="E47" s="1">
        <v>50.47</v>
      </c>
      <c r="F47" s="1"/>
      <c r="G47" s="1"/>
      <c r="H47" s="1"/>
    </row>
    <row r="48" spans="1:8" x14ac:dyDescent="0.3">
      <c r="A48" s="1" t="s">
        <v>31</v>
      </c>
      <c r="B48" s="4">
        <v>0</v>
      </c>
      <c r="C48" s="4">
        <v>0</v>
      </c>
      <c r="D48" s="1">
        <v>123.22</v>
      </c>
      <c r="E48" s="1">
        <v>123.22</v>
      </c>
      <c r="F48" s="8">
        <f>(E48-E49)/E49</f>
        <v>3.4853447551860303E-2</v>
      </c>
      <c r="G48" s="8">
        <f>E48/$E$65</f>
        <v>5.0754396009506667E-2</v>
      </c>
      <c r="H48" s="1">
        <v>4.1500000000000004</v>
      </c>
    </row>
    <row r="49" spans="1:8" x14ac:dyDescent="0.3">
      <c r="A49" s="1" t="s">
        <v>10</v>
      </c>
      <c r="B49" s="4">
        <v>0</v>
      </c>
      <c r="C49" s="4">
        <v>0</v>
      </c>
      <c r="D49" s="1">
        <v>119.07</v>
      </c>
      <c r="E49" s="1">
        <v>119.07</v>
      </c>
      <c r="F49" s="1"/>
      <c r="G49" s="1"/>
      <c r="H49" s="1"/>
    </row>
    <row r="50" spans="1:8" x14ac:dyDescent="0.3">
      <c r="A50" s="1" t="s">
        <v>32</v>
      </c>
      <c r="B50" s="4">
        <v>0</v>
      </c>
      <c r="C50" s="1">
        <v>3.51</v>
      </c>
      <c r="D50" s="1">
        <v>13.81</v>
      </c>
      <c r="E50" s="1">
        <v>17.32</v>
      </c>
      <c r="F50" s="8">
        <f>(E50-E51)/E51</f>
        <v>-0.87588677893228239</v>
      </c>
      <c r="G50" s="8">
        <f>E50/$E$65</f>
        <v>7.1341189651408492E-3</v>
      </c>
      <c r="H50" s="1">
        <v>-122.23</v>
      </c>
    </row>
    <row r="51" spans="1:8" x14ac:dyDescent="0.3">
      <c r="A51" s="1" t="s">
        <v>10</v>
      </c>
      <c r="B51" s="1">
        <v>120.68</v>
      </c>
      <c r="C51" s="1">
        <v>6.67</v>
      </c>
      <c r="D51" s="1">
        <v>12.2</v>
      </c>
      <c r="E51" s="1">
        <v>139.55000000000001</v>
      </c>
      <c r="F51" s="1"/>
      <c r="G51" s="1"/>
      <c r="H51" s="1"/>
    </row>
    <row r="52" spans="1:8" x14ac:dyDescent="0.3">
      <c r="A52" s="1" t="s">
        <v>33</v>
      </c>
      <c r="B52" s="4">
        <v>0</v>
      </c>
      <c r="C52" s="4">
        <v>0</v>
      </c>
      <c r="D52" s="1">
        <v>2.94</v>
      </c>
      <c r="E52" s="1">
        <v>2.94</v>
      </c>
      <c r="F52" s="8">
        <f>(E52-E53)/E53</f>
        <v>0.27272727272727265</v>
      </c>
      <c r="G52" s="8">
        <f>E52/$E$65</f>
        <v>1.2109878612883427E-3</v>
      </c>
      <c r="H52" s="1">
        <v>0.63</v>
      </c>
    </row>
    <row r="53" spans="1:8" x14ac:dyDescent="0.3">
      <c r="A53" s="1" t="s">
        <v>10</v>
      </c>
      <c r="B53" s="4">
        <v>0</v>
      </c>
      <c r="C53" s="4">
        <v>0</v>
      </c>
      <c r="D53" s="1">
        <v>2.31</v>
      </c>
      <c r="E53" s="1">
        <v>2.31</v>
      </c>
      <c r="F53" s="1"/>
      <c r="G53" s="1"/>
      <c r="H53" s="1"/>
    </row>
    <row r="54" spans="1:8" x14ac:dyDescent="0.3">
      <c r="A54" s="3" t="s">
        <v>34</v>
      </c>
      <c r="B54" s="5">
        <f t="shared" ref="B54:E54" si="0">SUM(B4+B6+B8+B10+B12+B14+B16+B18+B20+B22+B24+B26+B28+B30+B32+B34+B36+B38+B40+B42+B44+B46+B48+B50+B52)</f>
        <v>514.07000000000005</v>
      </c>
      <c r="C54" s="5">
        <f t="shared" si="0"/>
        <v>197.08999999999997</v>
      </c>
      <c r="D54" s="5">
        <f t="shared" si="0"/>
        <v>1492.47</v>
      </c>
      <c r="E54" s="5">
        <f t="shared" si="0"/>
        <v>2203.63</v>
      </c>
      <c r="F54" s="9">
        <f>(E54-E55)/E55</f>
        <v>-6.9507313447961405E-2</v>
      </c>
      <c r="G54" s="9">
        <f>E54/$E$65</f>
        <v>0.90767659209892215</v>
      </c>
      <c r="H54" s="5">
        <f t="shared" ref="H54" si="1">SUM(H4+H6+H8+H10+H12+H14+H16+H18+H20+H22+H24+H26+H28+H30+H32+H34+H36+H38+H40+H42+H44+H46+H48+H50+H52)</f>
        <v>-164.61000000000004</v>
      </c>
    </row>
    <row r="55" spans="1:8" x14ac:dyDescent="0.3">
      <c r="A55" s="1" t="s">
        <v>35</v>
      </c>
      <c r="B55" s="12">
        <f>SUM(B5+B7+B9+B11+B13+B15+B17+B19+B21+B23+B25+B27+B29+B31+B33+B35+B37+B39+B41+B43+B45+B47+B49+B51+B53)</f>
        <v>671.90000000000009</v>
      </c>
      <c r="C55" s="12">
        <f t="shared" ref="C55:E55" si="2">SUM(C5+C7+C9+C11+C13+C15+C17+C19+C21+C23+C25+C27+C29+C31+C33+C35+C37+C39+C41+C43+C45+C47+C49+C51+C53)</f>
        <v>143.47</v>
      </c>
      <c r="D55" s="12">
        <f t="shared" si="2"/>
        <v>1552.8699999999997</v>
      </c>
      <c r="E55" s="12">
        <f t="shared" si="2"/>
        <v>2368.2400000000002</v>
      </c>
      <c r="F55" s="1"/>
      <c r="G55" s="1"/>
      <c r="H55" s="1"/>
    </row>
    <row r="56" spans="1:8" x14ac:dyDescent="0.3">
      <c r="A56" s="1" t="s">
        <v>36</v>
      </c>
      <c r="B56" s="6">
        <f>(B54-B55)/B55</f>
        <v>-0.23490102693853254</v>
      </c>
      <c r="C56" s="6">
        <f t="shared" ref="C56:E56" si="3">(C54-C55)/C55</f>
        <v>0.37373666968704244</v>
      </c>
      <c r="D56" s="6">
        <f t="shared" si="3"/>
        <v>-3.8895722114536083E-2</v>
      </c>
      <c r="E56" s="6">
        <f t="shared" si="3"/>
        <v>-6.9507313447961405E-2</v>
      </c>
      <c r="F56" s="1"/>
      <c r="G56" s="1"/>
      <c r="H56" s="1"/>
    </row>
    <row r="57" spans="1:8" x14ac:dyDescent="0.3">
      <c r="A57" s="1" t="s">
        <v>55</v>
      </c>
      <c r="B57" s="1"/>
      <c r="C57" s="1"/>
      <c r="D57" s="1"/>
      <c r="E57" s="1"/>
      <c r="F57" s="1"/>
      <c r="G57" s="1"/>
      <c r="H57" s="1"/>
    </row>
    <row r="58" spans="1:8" x14ac:dyDescent="0.3">
      <c r="A58" s="1" t="s">
        <v>56</v>
      </c>
      <c r="B58" s="1">
        <v>21.85</v>
      </c>
      <c r="C58" s="4">
        <v>0</v>
      </c>
      <c r="D58" s="1">
        <v>6.03</v>
      </c>
      <c r="E58" s="1">
        <v>27.88</v>
      </c>
      <c r="F58" s="8">
        <f>(E58-E59)/E59</f>
        <v>1.3931330472103001</v>
      </c>
      <c r="G58" s="8">
        <f>E58/$E$65</f>
        <v>1.1483789650584693E-2</v>
      </c>
      <c r="H58" s="1">
        <v>16.23</v>
      </c>
    </row>
    <row r="59" spans="1:8" x14ac:dyDescent="0.3">
      <c r="A59" s="1" t="s">
        <v>10</v>
      </c>
      <c r="B59" s="1">
        <v>10.78</v>
      </c>
      <c r="C59" s="4">
        <v>0</v>
      </c>
      <c r="D59" s="1">
        <v>0.87</v>
      </c>
      <c r="E59" s="1">
        <v>11.65</v>
      </c>
      <c r="F59" s="1"/>
      <c r="G59" s="1"/>
      <c r="H59" s="1"/>
    </row>
    <row r="60" spans="1:8" x14ac:dyDescent="0.3">
      <c r="A60" s="1" t="s">
        <v>57</v>
      </c>
      <c r="B60" s="4">
        <v>0</v>
      </c>
      <c r="C60" s="1">
        <v>196.26</v>
      </c>
      <c r="D60" s="4">
        <v>0</v>
      </c>
      <c r="E60" s="1">
        <v>196.26</v>
      </c>
      <c r="F60" s="8">
        <f>(E60-E61)/E61</f>
        <v>2.9101777568035146E-2</v>
      </c>
      <c r="G60" s="8">
        <f>E60/$E$65</f>
        <v>8.0839618250493253E-2</v>
      </c>
      <c r="H60" s="1">
        <v>5.55</v>
      </c>
    </row>
    <row r="61" spans="1:8" x14ac:dyDescent="0.3">
      <c r="A61" s="1" t="s">
        <v>10</v>
      </c>
      <c r="B61" s="4">
        <v>0</v>
      </c>
      <c r="C61" s="1">
        <v>190.71</v>
      </c>
      <c r="D61" s="4">
        <v>0</v>
      </c>
      <c r="E61" s="1">
        <v>190.71</v>
      </c>
      <c r="F61" s="1"/>
      <c r="G61" s="1"/>
      <c r="H61" s="1"/>
    </row>
    <row r="62" spans="1:8" x14ac:dyDescent="0.3">
      <c r="A62" s="3" t="s">
        <v>58</v>
      </c>
      <c r="B62" s="13">
        <f>SUM(B58+B60)</f>
        <v>21.85</v>
      </c>
      <c r="C62" s="13">
        <f t="shared" ref="C62:E62" si="4">SUM(C58+C60)</f>
        <v>196.26</v>
      </c>
      <c r="D62" s="13">
        <f t="shared" si="4"/>
        <v>6.03</v>
      </c>
      <c r="E62" s="13">
        <f t="shared" si="4"/>
        <v>224.14</v>
      </c>
      <c r="F62" s="9">
        <f>(E62-E63)/E63</f>
        <v>0.10762996639652091</v>
      </c>
      <c r="G62" s="9">
        <f>E62/$E$65</f>
        <v>9.2323407901077945E-2</v>
      </c>
      <c r="H62" s="13">
        <f>SUM(H58+H60)</f>
        <v>21.78</v>
      </c>
    </row>
    <row r="63" spans="1:8" x14ac:dyDescent="0.3">
      <c r="A63" s="1" t="s">
        <v>35</v>
      </c>
      <c r="B63" s="10">
        <f>B59+B61</f>
        <v>10.78</v>
      </c>
      <c r="C63" s="10">
        <f t="shared" ref="C63:E63" si="5">C59+C61</f>
        <v>190.71</v>
      </c>
      <c r="D63" s="10">
        <f t="shared" si="5"/>
        <v>0.87</v>
      </c>
      <c r="E63" s="10">
        <f t="shared" si="5"/>
        <v>202.36</v>
      </c>
      <c r="F63" s="1"/>
      <c r="G63" s="1"/>
      <c r="H63" s="1"/>
    </row>
    <row r="64" spans="1:8" x14ac:dyDescent="0.3">
      <c r="A64" s="1" t="s">
        <v>36</v>
      </c>
      <c r="B64" s="6">
        <f>(B62-B63)/B63</f>
        <v>1.0269016697588129</v>
      </c>
      <c r="C64" s="6">
        <f t="shared" ref="C64:E64" si="6">(C62-C63)/C63</f>
        <v>2.9101777568035146E-2</v>
      </c>
      <c r="D64" s="6">
        <f t="shared" si="6"/>
        <v>5.931034482758621</v>
      </c>
      <c r="E64" s="6">
        <f t="shared" si="6"/>
        <v>0.10762996639652091</v>
      </c>
      <c r="F64" s="1"/>
      <c r="G64" s="1"/>
      <c r="H64" s="1"/>
    </row>
    <row r="65" spans="1:18" x14ac:dyDescent="0.3">
      <c r="A65" s="3" t="s">
        <v>45</v>
      </c>
      <c r="B65" s="7">
        <f t="shared" ref="B65:E66" si="7">SUM(B54+B62)</f>
        <v>535.92000000000007</v>
      </c>
      <c r="C65" s="7">
        <f t="shared" si="7"/>
        <v>393.34999999999997</v>
      </c>
      <c r="D65" s="7">
        <f t="shared" si="7"/>
        <v>1498.5</v>
      </c>
      <c r="E65" s="7">
        <f t="shared" si="7"/>
        <v>2427.77</v>
      </c>
      <c r="F65" s="9">
        <f>(E65-E66)/E66</f>
        <v>-5.5562903602271986E-2</v>
      </c>
      <c r="G65" s="9">
        <f>E65/$E$65</f>
        <v>1</v>
      </c>
      <c r="H65" s="7">
        <f t="shared" ref="H65" si="8">SUM(H54+H62)</f>
        <v>-142.83000000000004</v>
      </c>
    </row>
    <row r="66" spans="1:18" x14ac:dyDescent="0.3">
      <c r="A66" s="1" t="s">
        <v>35</v>
      </c>
      <c r="B66" s="10">
        <f t="shared" si="7"/>
        <v>682.68000000000006</v>
      </c>
      <c r="C66" s="10">
        <f t="shared" si="7"/>
        <v>334.18</v>
      </c>
      <c r="D66" s="10">
        <f t="shared" si="7"/>
        <v>1553.7399999999996</v>
      </c>
      <c r="E66" s="10">
        <f t="shared" si="7"/>
        <v>2570.6000000000004</v>
      </c>
      <c r="F66" s="1"/>
      <c r="G66" s="1"/>
      <c r="H66" s="1"/>
    </row>
    <row r="67" spans="1:18" x14ac:dyDescent="0.3">
      <c r="A67" s="1" t="s">
        <v>36</v>
      </c>
      <c r="B67" s="8">
        <f>(B65-B66)/B66</f>
        <v>-0.21497626999472663</v>
      </c>
      <c r="C67" s="8">
        <f t="shared" ref="C67:E67" si="9">(C65-C66)/C66</f>
        <v>0.17706026692201796</v>
      </c>
      <c r="D67" s="8">
        <f t="shared" si="9"/>
        <v>-3.5552923912623456E-2</v>
      </c>
      <c r="E67" s="8">
        <f t="shared" si="9"/>
        <v>-5.5562903602271986E-2</v>
      </c>
      <c r="F67" s="1"/>
      <c r="G67" s="1"/>
      <c r="H67" s="1"/>
    </row>
    <row r="68" spans="1:18" x14ac:dyDescent="0.3">
      <c r="A68" s="1" t="s">
        <v>46</v>
      </c>
      <c r="B68" s="8">
        <f>B65/$E$65</f>
        <v>0.22074578728627509</v>
      </c>
      <c r="C68" s="8">
        <f t="shared" ref="C68:E68" si="10">C65/$E$65</f>
        <v>0.16202111402645225</v>
      </c>
      <c r="D68" s="8">
        <f t="shared" si="10"/>
        <v>0.61723309868727272</v>
      </c>
      <c r="E68" s="8">
        <f t="shared" si="10"/>
        <v>1</v>
      </c>
      <c r="F68" s="1"/>
      <c r="G68" s="1"/>
      <c r="H68" s="1"/>
    </row>
    <row r="69" spans="1:18" x14ac:dyDescent="0.3">
      <c r="A69" s="1" t="s">
        <v>47</v>
      </c>
      <c r="B69" s="8">
        <f>B66/$E$66</f>
        <v>0.26557223994398194</v>
      </c>
      <c r="C69" s="8">
        <f t="shared" ref="C69:E69" si="11">C66/$E$66</f>
        <v>0.13000077802847582</v>
      </c>
      <c r="D69" s="8">
        <f t="shared" si="11"/>
        <v>0.60442698202754197</v>
      </c>
      <c r="E69" s="8">
        <f t="shared" si="11"/>
        <v>1</v>
      </c>
      <c r="F69" s="1"/>
      <c r="G69" s="1"/>
      <c r="H69" s="1"/>
    </row>
    <row r="71" spans="1:18" ht="71.400000000000006" customHeight="1" x14ac:dyDescent="0.3">
      <c r="A71" s="18" t="s">
        <v>76</v>
      </c>
      <c r="B71" s="17"/>
      <c r="C71" s="17"/>
      <c r="D71" s="17"/>
      <c r="E71" s="17"/>
      <c r="F71" s="17"/>
      <c r="G71" s="17"/>
      <c r="H71" s="17"/>
      <c r="I71" s="17"/>
      <c r="J71" s="17"/>
      <c r="K71" s="17"/>
      <c r="L71" s="17"/>
      <c r="M71" s="17"/>
      <c r="N71" s="17"/>
      <c r="O71" s="17"/>
      <c r="P71" s="17"/>
      <c r="Q71" s="17"/>
      <c r="R71" s="17"/>
    </row>
  </sheetData>
  <mergeCells count="2">
    <mergeCell ref="A1:H1"/>
    <mergeCell ref="A71:R7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89"/>
  <sheetViews>
    <sheetView tabSelected="1" workbookViewId="0">
      <selection activeCell="P83" sqref="P83"/>
    </sheetView>
  </sheetViews>
  <sheetFormatPr defaultRowHeight="14.4" x14ac:dyDescent="0.3"/>
  <cols>
    <col min="1" max="1" width="37.88671875" customWidth="1"/>
    <col min="2" max="2" width="10.88671875" customWidth="1"/>
    <col min="3" max="3" width="10.33203125" customWidth="1"/>
    <col min="4" max="4" width="10.5546875" customWidth="1"/>
    <col min="5" max="5" width="9.109375" customWidth="1"/>
    <col min="6" max="6" width="10.6640625" customWidth="1"/>
    <col min="7" max="7" width="11" customWidth="1"/>
    <col min="8" max="8" width="10.21875" customWidth="1"/>
    <col min="10" max="10" width="10.109375" bestFit="1" customWidth="1"/>
    <col min="14" max="14" width="9.5546875" customWidth="1"/>
    <col min="15" max="15" width="11.109375" customWidth="1"/>
  </cols>
  <sheetData>
    <row r="1" spans="1:18" ht="39" customHeight="1" x14ac:dyDescent="0.3">
      <c r="A1" s="19" t="s">
        <v>74</v>
      </c>
      <c r="B1" s="19"/>
      <c r="C1" s="19"/>
      <c r="D1" s="19"/>
      <c r="E1" s="19"/>
      <c r="F1" s="19"/>
      <c r="G1" s="19"/>
      <c r="H1" s="19"/>
      <c r="I1" s="19"/>
      <c r="J1" s="19"/>
      <c r="K1" s="19"/>
      <c r="L1" s="19"/>
      <c r="M1" s="19"/>
      <c r="N1" s="19"/>
      <c r="O1" s="19"/>
      <c r="P1" s="19"/>
      <c r="Q1" s="19"/>
      <c r="R1" s="19"/>
    </row>
    <row r="2" spans="1:18" ht="31.8" customHeight="1" x14ac:dyDescent="0.3">
      <c r="A2" s="2"/>
      <c r="B2" s="2" t="s">
        <v>59</v>
      </c>
      <c r="C2" s="2" t="s">
        <v>60</v>
      </c>
      <c r="D2" s="2" t="s">
        <v>61</v>
      </c>
      <c r="E2" s="2" t="s">
        <v>62</v>
      </c>
      <c r="F2" s="2" t="s">
        <v>63</v>
      </c>
      <c r="G2" s="2" t="s">
        <v>64</v>
      </c>
      <c r="H2" s="2" t="s">
        <v>65</v>
      </c>
      <c r="I2" s="2" t="s">
        <v>66</v>
      </c>
      <c r="J2" s="2" t="s">
        <v>67</v>
      </c>
      <c r="K2" s="2" t="s">
        <v>68</v>
      </c>
      <c r="L2" s="2" t="s">
        <v>69</v>
      </c>
      <c r="M2" s="2" t="s">
        <v>70</v>
      </c>
      <c r="N2" s="2" t="s">
        <v>71</v>
      </c>
      <c r="O2" s="2" t="s">
        <v>4</v>
      </c>
      <c r="P2" s="2" t="s">
        <v>5</v>
      </c>
      <c r="Q2" s="2" t="s">
        <v>6</v>
      </c>
      <c r="R2" s="2" t="s">
        <v>7</v>
      </c>
    </row>
    <row r="3" spans="1:18" x14ac:dyDescent="0.3">
      <c r="A3" s="3" t="s">
        <v>8</v>
      </c>
      <c r="B3" s="1"/>
      <c r="C3" s="1"/>
      <c r="D3" s="1"/>
      <c r="E3" s="1"/>
      <c r="F3" s="1"/>
      <c r="G3" s="1"/>
      <c r="H3" s="1"/>
      <c r="I3" s="1"/>
      <c r="J3" s="1"/>
      <c r="K3" s="1"/>
      <c r="L3" s="1"/>
      <c r="M3" s="1"/>
      <c r="N3" s="1"/>
      <c r="O3" s="1"/>
      <c r="P3" s="1"/>
      <c r="Q3" s="1"/>
      <c r="R3" s="1"/>
    </row>
    <row r="4" spans="1:18" x14ac:dyDescent="0.3">
      <c r="A4" s="1" t="s">
        <v>9</v>
      </c>
      <c r="B4" s="4">
        <v>0</v>
      </c>
      <c r="C4" s="4">
        <v>0</v>
      </c>
      <c r="D4" s="4">
        <v>0</v>
      </c>
      <c r="E4" s="4">
        <v>0</v>
      </c>
      <c r="F4" s="4">
        <v>0</v>
      </c>
      <c r="G4" s="1">
        <v>154.27000000000001</v>
      </c>
      <c r="H4" s="1">
        <v>60.99</v>
      </c>
      <c r="I4" s="1">
        <v>93.28</v>
      </c>
      <c r="J4" s="1">
        <v>194.17</v>
      </c>
      <c r="K4" s="4">
        <v>0</v>
      </c>
      <c r="L4" s="1">
        <v>5.58</v>
      </c>
      <c r="M4" s="1">
        <v>2.7</v>
      </c>
      <c r="N4" s="1">
        <v>13.61</v>
      </c>
      <c r="O4" s="1">
        <v>370.33</v>
      </c>
      <c r="P4" s="8">
        <f>(O4-O5)/O5</f>
        <v>7.4541550603528323E-2</v>
      </c>
      <c r="Q4" s="8">
        <f>O4/$O$83</f>
        <v>6.6263606155163085E-3</v>
      </c>
      <c r="R4" s="1">
        <v>25.69</v>
      </c>
    </row>
    <row r="5" spans="1:18" x14ac:dyDescent="0.3">
      <c r="A5" s="1" t="s">
        <v>10</v>
      </c>
      <c r="B5" s="4">
        <v>0</v>
      </c>
      <c r="C5" s="4">
        <v>0</v>
      </c>
      <c r="D5" s="4">
        <v>0</v>
      </c>
      <c r="E5" s="4">
        <v>0</v>
      </c>
      <c r="F5" s="4">
        <v>0</v>
      </c>
      <c r="G5" s="1">
        <v>131.77000000000001</v>
      </c>
      <c r="H5" s="1">
        <v>47.76</v>
      </c>
      <c r="I5" s="1">
        <v>84.02</v>
      </c>
      <c r="J5" s="1">
        <v>188.96</v>
      </c>
      <c r="K5" s="4">
        <v>0</v>
      </c>
      <c r="L5" s="1">
        <v>11.33</v>
      </c>
      <c r="M5" s="1">
        <v>1.64</v>
      </c>
      <c r="N5" s="1">
        <v>10.93</v>
      </c>
      <c r="O5" s="1">
        <v>344.64</v>
      </c>
      <c r="P5" s="1"/>
      <c r="Q5" s="1"/>
      <c r="R5" s="1"/>
    </row>
    <row r="6" spans="1:18" x14ac:dyDescent="0.3">
      <c r="A6" s="1" t="s">
        <v>11</v>
      </c>
      <c r="B6" s="1">
        <v>1008.91</v>
      </c>
      <c r="C6" s="1">
        <v>101.24</v>
      </c>
      <c r="D6" s="1">
        <v>95.46</v>
      </c>
      <c r="E6" s="1">
        <v>5.78</v>
      </c>
      <c r="F6" s="1">
        <v>88.68</v>
      </c>
      <c r="G6" s="1">
        <v>1103.54</v>
      </c>
      <c r="H6" s="1">
        <v>489.07</v>
      </c>
      <c r="I6" s="1">
        <v>614.46</v>
      </c>
      <c r="J6" s="1">
        <v>938.5</v>
      </c>
      <c r="K6" s="1">
        <v>4.32</v>
      </c>
      <c r="L6" s="1">
        <v>198.38</v>
      </c>
      <c r="M6" s="1">
        <v>35.06</v>
      </c>
      <c r="N6" s="1">
        <v>246.65</v>
      </c>
      <c r="O6" s="1">
        <v>3725.27</v>
      </c>
      <c r="P6" s="8">
        <f>(O6-O7)/O7</f>
        <v>6.9923401908777341E-2</v>
      </c>
      <c r="Q6" s="8">
        <f>O6/$O$83</f>
        <v>6.6656718089715766E-2</v>
      </c>
      <c r="R6" s="1">
        <v>243.46</v>
      </c>
    </row>
    <row r="7" spans="1:18" x14ac:dyDescent="0.3">
      <c r="A7" s="1" t="s">
        <v>10</v>
      </c>
      <c r="B7" s="1">
        <v>883.03</v>
      </c>
      <c r="C7" s="1">
        <v>85.79</v>
      </c>
      <c r="D7" s="1">
        <v>82.07</v>
      </c>
      <c r="E7" s="1">
        <v>3.73</v>
      </c>
      <c r="F7" s="1">
        <v>87.33</v>
      </c>
      <c r="G7" s="1">
        <v>975.03</v>
      </c>
      <c r="H7" s="1">
        <v>539.28</v>
      </c>
      <c r="I7" s="1">
        <v>435.74</v>
      </c>
      <c r="J7" s="1">
        <v>992.76</v>
      </c>
      <c r="K7" s="1">
        <v>3.36</v>
      </c>
      <c r="L7" s="1">
        <v>155.61000000000001</v>
      </c>
      <c r="M7" s="1">
        <v>40.799999999999997</v>
      </c>
      <c r="N7" s="1">
        <v>258.10000000000002</v>
      </c>
      <c r="O7" s="1">
        <v>3481.81</v>
      </c>
      <c r="P7" s="1"/>
      <c r="Q7" s="1"/>
      <c r="R7" s="1"/>
    </row>
    <row r="8" spans="1:18" x14ac:dyDescent="0.3">
      <c r="A8" s="1" t="s">
        <v>12</v>
      </c>
      <c r="B8" s="1">
        <v>179.84</v>
      </c>
      <c r="C8" s="1">
        <v>38.229999999999997</v>
      </c>
      <c r="D8" s="1">
        <v>33.96</v>
      </c>
      <c r="E8" s="1">
        <v>4.28</v>
      </c>
      <c r="F8" s="1">
        <v>7.64</v>
      </c>
      <c r="G8" s="1">
        <v>798.91</v>
      </c>
      <c r="H8" s="1">
        <v>380.26</v>
      </c>
      <c r="I8" s="1">
        <v>418.65</v>
      </c>
      <c r="J8" s="1">
        <v>195.03</v>
      </c>
      <c r="K8" s="4">
        <v>0</v>
      </c>
      <c r="L8" s="1">
        <v>6.41</v>
      </c>
      <c r="M8" s="1">
        <v>32.68</v>
      </c>
      <c r="N8" s="1">
        <v>8.56</v>
      </c>
      <c r="O8" s="1">
        <v>1267.31</v>
      </c>
      <c r="P8" s="8">
        <f>(O8-O9)/O9</f>
        <v>-4.5333674829942272E-2</v>
      </c>
      <c r="Q8" s="8">
        <f>O8/$O$83</f>
        <v>2.2676134992169073E-2</v>
      </c>
      <c r="R8" s="1">
        <v>-60.18</v>
      </c>
    </row>
    <row r="9" spans="1:18" x14ac:dyDescent="0.3">
      <c r="A9" s="1" t="s">
        <v>10</v>
      </c>
      <c r="B9" s="1">
        <v>195.43</v>
      </c>
      <c r="C9" s="1">
        <v>35.1</v>
      </c>
      <c r="D9" s="1">
        <v>31.8</v>
      </c>
      <c r="E9" s="1">
        <v>3.3</v>
      </c>
      <c r="F9" s="1">
        <v>7.97</v>
      </c>
      <c r="G9" s="1">
        <v>747.34</v>
      </c>
      <c r="H9" s="1">
        <v>323.75</v>
      </c>
      <c r="I9" s="1">
        <v>423.59</v>
      </c>
      <c r="J9" s="1">
        <v>209.37</v>
      </c>
      <c r="K9" s="4">
        <v>0</v>
      </c>
      <c r="L9" s="1">
        <v>5.19</v>
      </c>
      <c r="M9" s="1">
        <v>65.73</v>
      </c>
      <c r="N9" s="1">
        <v>61.36</v>
      </c>
      <c r="O9" s="1">
        <v>1327.49</v>
      </c>
      <c r="P9" s="1"/>
      <c r="Q9" s="1"/>
      <c r="R9" s="1"/>
    </row>
    <row r="10" spans="1:18" x14ac:dyDescent="0.3">
      <c r="A10" s="1" t="s">
        <v>13</v>
      </c>
      <c r="B10" s="1">
        <v>235.39</v>
      </c>
      <c r="C10" s="1">
        <v>30.24</v>
      </c>
      <c r="D10" s="1">
        <v>30.24</v>
      </c>
      <c r="E10" s="4">
        <v>0</v>
      </c>
      <c r="F10" s="1">
        <v>18.940000000000001</v>
      </c>
      <c r="G10" s="1">
        <v>290.68</v>
      </c>
      <c r="H10" s="1">
        <v>134.47999999999999</v>
      </c>
      <c r="I10" s="1">
        <v>156.19999999999999</v>
      </c>
      <c r="J10" s="1">
        <v>303.16000000000003</v>
      </c>
      <c r="K10" s="4">
        <v>0</v>
      </c>
      <c r="L10" s="1">
        <v>16.09</v>
      </c>
      <c r="M10" s="1">
        <v>15.8</v>
      </c>
      <c r="N10" s="1">
        <v>37.61</v>
      </c>
      <c r="O10" s="1">
        <v>947.91</v>
      </c>
      <c r="P10" s="8">
        <f>(O10-O11)/O11</f>
        <v>-0.14199207081952969</v>
      </c>
      <c r="Q10" s="8">
        <f>O10/$O$83</f>
        <v>1.6961071182604877E-2</v>
      </c>
      <c r="R10" s="1">
        <v>-156.87</v>
      </c>
    </row>
    <row r="11" spans="1:18" x14ac:dyDescent="0.3">
      <c r="A11" s="1" t="s">
        <v>10</v>
      </c>
      <c r="B11" s="1">
        <v>180.06</v>
      </c>
      <c r="C11" s="1">
        <v>30.24</v>
      </c>
      <c r="D11" s="1">
        <v>30.24</v>
      </c>
      <c r="E11" s="4">
        <v>0</v>
      </c>
      <c r="F11" s="1">
        <v>15.09</v>
      </c>
      <c r="G11" s="1">
        <v>316.57</v>
      </c>
      <c r="H11" s="1">
        <v>136.6</v>
      </c>
      <c r="I11" s="1">
        <v>179.97</v>
      </c>
      <c r="J11" s="1">
        <v>467.84</v>
      </c>
      <c r="K11" s="4">
        <v>0</v>
      </c>
      <c r="L11" s="1">
        <v>11.3</v>
      </c>
      <c r="M11" s="1">
        <v>18.93</v>
      </c>
      <c r="N11" s="1">
        <v>64.75</v>
      </c>
      <c r="O11" s="1">
        <v>1104.78</v>
      </c>
      <c r="P11" s="1"/>
      <c r="Q11" s="1"/>
      <c r="R11" s="1"/>
    </row>
    <row r="12" spans="1:18" x14ac:dyDescent="0.3">
      <c r="A12" s="1" t="s">
        <v>14</v>
      </c>
      <c r="B12" s="1">
        <v>291.39999999999998</v>
      </c>
      <c r="C12" s="1">
        <v>24.03</v>
      </c>
      <c r="D12" s="1">
        <v>24.01</v>
      </c>
      <c r="E12" s="1">
        <v>0.02</v>
      </c>
      <c r="F12" s="1">
        <v>31.88</v>
      </c>
      <c r="G12" s="1">
        <v>961.97</v>
      </c>
      <c r="H12" s="1">
        <v>354.33</v>
      </c>
      <c r="I12" s="1">
        <v>607.65</v>
      </c>
      <c r="J12" s="1">
        <v>257.87</v>
      </c>
      <c r="K12" s="1">
        <v>0.44</v>
      </c>
      <c r="L12" s="1">
        <v>61.92</v>
      </c>
      <c r="M12" s="1">
        <v>89.13</v>
      </c>
      <c r="N12" s="1">
        <v>48.14</v>
      </c>
      <c r="O12" s="1">
        <v>1766.79</v>
      </c>
      <c r="P12" s="8">
        <f>(O12-O13)/O13</f>
        <v>5.5644515612489918E-2</v>
      </c>
      <c r="Q12" s="8">
        <f>O12/$O$83</f>
        <v>3.1613392573888316E-2</v>
      </c>
      <c r="R12" s="1">
        <v>93.13</v>
      </c>
    </row>
    <row r="13" spans="1:18" x14ac:dyDescent="0.3">
      <c r="A13" s="1" t="s">
        <v>10</v>
      </c>
      <c r="B13" s="1">
        <v>190.51</v>
      </c>
      <c r="C13" s="1">
        <v>22.62</v>
      </c>
      <c r="D13" s="1">
        <v>22.62</v>
      </c>
      <c r="E13" s="4">
        <v>0</v>
      </c>
      <c r="F13" s="1">
        <v>16.93</v>
      </c>
      <c r="G13" s="1">
        <v>803.92</v>
      </c>
      <c r="H13" s="1">
        <v>330.36</v>
      </c>
      <c r="I13" s="1">
        <v>473.55</v>
      </c>
      <c r="J13" s="1">
        <v>305.97000000000003</v>
      </c>
      <c r="K13" s="4">
        <v>0</v>
      </c>
      <c r="L13" s="1">
        <v>28.07</v>
      </c>
      <c r="M13" s="1">
        <v>240.06</v>
      </c>
      <c r="N13" s="1">
        <v>65.59</v>
      </c>
      <c r="O13" s="1">
        <v>1673.66</v>
      </c>
      <c r="P13" s="1"/>
      <c r="Q13" s="1"/>
      <c r="R13" s="1"/>
    </row>
    <row r="14" spans="1:18" x14ac:dyDescent="0.3">
      <c r="A14" s="1" t="s">
        <v>15</v>
      </c>
      <c r="B14" s="1">
        <v>665.55</v>
      </c>
      <c r="C14" s="1">
        <v>43.08</v>
      </c>
      <c r="D14" s="1">
        <v>41.64</v>
      </c>
      <c r="E14" s="1">
        <v>1.44</v>
      </c>
      <c r="F14" s="1">
        <v>79.7</v>
      </c>
      <c r="G14" s="1">
        <v>379.82</v>
      </c>
      <c r="H14" s="1">
        <v>244.25</v>
      </c>
      <c r="I14" s="1">
        <v>135.56</v>
      </c>
      <c r="J14" s="1">
        <v>1022.85</v>
      </c>
      <c r="K14" s="1">
        <v>2.79</v>
      </c>
      <c r="L14" s="1">
        <v>170.32</v>
      </c>
      <c r="M14" s="1">
        <v>113.14</v>
      </c>
      <c r="N14" s="1">
        <v>72.58</v>
      </c>
      <c r="O14" s="1">
        <v>2549.8200000000002</v>
      </c>
      <c r="P14" s="8">
        <f>(O14-O15)/O15</f>
        <v>-5.4715449264294155E-2</v>
      </c>
      <c r="Q14" s="8">
        <f>O14/$O$83</f>
        <v>4.5624245469326807E-2</v>
      </c>
      <c r="R14" s="1">
        <v>-147.59</v>
      </c>
    </row>
    <row r="15" spans="1:18" x14ac:dyDescent="0.3">
      <c r="A15" s="1" t="s">
        <v>10</v>
      </c>
      <c r="B15" s="1">
        <v>652.76</v>
      </c>
      <c r="C15" s="1">
        <v>44.55</v>
      </c>
      <c r="D15" s="1">
        <v>43.35</v>
      </c>
      <c r="E15" s="1">
        <v>1.2</v>
      </c>
      <c r="F15" s="1">
        <v>52.36</v>
      </c>
      <c r="G15" s="1">
        <v>607.15</v>
      </c>
      <c r="H15" s="1">
        <v>398.14</v>
      </c>
      <c r="I15" s="1">
        <v>209.01</v>
      </c>
      <c r="J15" s="1">
        <v>999.86</v>
      </c>
      <c r="K15" s="1">
        <v>3.63</v>
      </c>
      <c r="L15" s="1">
        <v>162.91999999999999</v>
      </c>
      <c r="M15" s="1">
        <v>76.349999999999994</v>
      </c>
      <c r="N15" s="1">
        <v>97.83</v>
      </c>
      <c r="O15" s="1">
        <v>2697.41</v>
      </c>
      <c r="P15" s="1"/>
      <c r="Q15" s="1"/>
      <c r="R15" s="1"/>
    </row>
    <row r="16" spans="1:18" x14ac:dyDescent="0.3">
      <c r="A16" s="1" t="s">
        <v>16</v>
      </c>
      <c r="B16" s="1">
        <v>1191.83</v>
      </c>
      <c r="C16" s="1">
        <v>250.8</v>
      </c>
      <c r="D16" s="1">
        <v>220.84</v>
      </c>
      <c r="E16" s="1">
        <v>29.96</v>
      </c>
      <c r="F16" s="1">
        <v>227.5</v>
      </c>
      <c r="G16" s="1">
        <v>1643.77</v>
      </c>
      <c r="H16" s="1">
        <v>853.63</v>
      </c>
      <c r="I16" s="1">
        <v>790.15</v>
      </c>
      <c r="J16" s="1">
        <v>1914.19</v>
      </c>
      <c r="K16" s="1">
        <v>24.3</v>
      </c>
      <c r="L16" s="1">
        <v>246.89</v>
      </c>
      <c r="M16" s="1">
        <v>89.57</v>
      </c>
      <c r="N16" s="1">
        <v>158.59</v>
      </c>
      <c r="O16" s="1">
        <v>5747.45</v>
      </c>
      <c r="P16" s="8">
        <f>(O16-O17)/O17</f>
        <v>5.0622244320466678E-2</v>
      </c>
      <c r="Q16" s="8">
        <f>O16/$O$83</f>
        <v>0.10283983560513382</v>
      </c>
      <c r="R16" s="1">
        <v>276.93</v>
      </c>
    </row>
    <row r="17" spans="1:18" x14ac:dyDescent="0.3">
      <c r="A17" s="1" t="s">
        <v>10</v>
      </c>
      <c r="B17" s="1">
        <v>1071.8800000000001</v>
      </c>
      <c r="C17" s="1">
        <v>261.76</v>
      </c>
      <c r="D17" s="1">
        <v>229.33</v>
      </c>
      <c r="E17" s="1">
        <v>32.43</v>
      </c>
      <c r="F17" s="1">
        <v>189.27</v>
      </c>
      <c r="G17" s="1">
        <v>1551.61</v>
      </c>
      <c r="H17" s="1">
        <v>792.9</v>
      </c>
      <c r="I17" s="1">
        <v>758.71</v>
      </c>
      <c r="J17" s="1">
        <v>1842.35</v>
      </c>
      <c r="K17" s="1">
        <v>36.31</v>
      </c>
      <c r="L17" s="1">
        <v>248.43</v>
      </c>
      <c r="M17" s="1">
        <v>127.68</v>
      </c>
      <c r="N17" s="1">
        <v>141.22999999999999</v>
      </c>
      <c r="O17" s="1">
        <v>5470.52</v>
      </c>
      <c r="P17" s="1"/>
      <c r="Q17" s="1"/>
      <c r="R17" s="1"/>
    </row>
    <row r="18" spans="1:18" x14ac:dyDescent="0.3">
      <c r="A18" s="1" t="s">
        <v>17</v>
      </c>
      <c r="B18" s="1">
        <v>331.01</v>
      </c>
      <c r="C18" s="1">
        <v>83.07</v>
      </c>
      <c r="D18" s="1">
        <v>82.94</v>
      </c>
      <c r="E18" s="1">
        <v>0.13</v>
      </c>
      <c r="F18" s="1">
        <v>60.54</v>
      </c>
      <c r="G18" s="1">
        <v>614.17999999999995</v>
      </c>
      <c r="H18" s="1">
        <v>311.08999999999997</v>
      </c>
      <c r="I18" s="1">
        <v>303.10000000000002</v>
      </c>
      <c r="J18" s="1">
        <v>150.96</v>
      </c>
      <c r="K18" s="4">
        <v>0</v>
      </c>
      <c r="L18" s="1">
        <v>55.79</v>
      </c>
      <c r="M18" s="1">
        <v>19.68</v>
      </c>
      <c r="N18" s="1">
        <v>124.9</v>
      </c>
      <c r="O18" s="1">
        <v>1440.14</v>
      </c>
      <c r="P18" s="8">
        <f>(O18-O19)/O19</f>
        <v>0.11466807018630182</v>
      </c>
      <c r="Q18" s="8">
        <f>O18/$O$83</f>
        <v>2.5768603615234136E-2</v>
      </c>
      <c r="R18" s="1">
        <v>148.15</v>
      </c>
    </row>
    <row r="19" spans="1:18" x14ac:dyDescent="0.3">
      <c r="A19" s="1" t="s">
        <v>10</v>
      </c>
      <c r="B19" s="1">
        <v>267.86</v>
      </c>
      <c r="C19" s="1">
        <v>70.09</v>
      </c>
      <c r="D19" s="1">
        <v>68.260000000000005</v>
      </c>
      <c r="E19" s="1">
        <v>1.83</v>
      </c>
      <c r="F19" s="1">
        <v>48.41</v>
      </c>
      <c r="G19" s="1">
        <v>568.72</v>
      </c>
      <c r="H19" s="1">
        <v>277.88</v>
      </c>
      <c r="I19" s="1">
        <v>290.83</v>
      </c>
      <c r="J19" s="1">
        <v>150.30000000000001</v>
      </c>
      <c r="K19" s="4">
        <v>0</v>
      </c>
      <c r="L19" s="1">
        <v>52.5</v>
      </c>
      <c r="M19" s="1">
        <v>20.47</v>
      </c>
      <c r="N19" s="1">
        <v>113.65</v>
      </c>
      <c r="O19" s="1">
        <v>1291.99</v>
      </c>
      <c r="P19" s="1"/>
      <c r="Q19" s="1"/>
      <c r="R19" s="1"/>
    </row>
    <row r="20" spans="1:18" x14ac:dyDescent="0.3">
      <c r="A20" s="1" t="s">
        <v>75</v>
      </c>
      <c r="B20" s="1">
        <v>29.45</v>
      </c>
      <c r="C20" s="1">
        <v>4.42</v>
      </c>
      <c r="D20" s="1">
        <v>4.42</v>
      </c>
      <c r="E20" s="4">
        <v>0</v>
      </c>
      <c r="F20" s="1">
        <v>3.91</v>
      </c>
      <c r="G20" s="1">
        <v>150.75</v>
      </c>
      <c r="H20" s="1">
        <v>83.2</v>
      </c>
      <c r="I20" s="1">
        <v>67.55</v>
      </c>
      <c r="J20" s="1">
        <v>224.84</v>
      </c>
      <c r="K20" s="4">
        <v>0</v>
      </c>
      <c r="L20" s="1">
        <v>0.49</v>
      </c>
      <c r="M20" s="1">
        <v>10.73</v>
      </c>
      <c r="N20" s="1">
        <v>6.04</v>
      </c>
      <c r="O20" s="1">
        <v>430.63</v>
      </c>
      <c r="P20" s="8">
        <f>(O20-O21)/O21</f>
        <v>0.46467807217441587</v>
      </c>
      <c r="Q20" s="8">
        <f>O20/$O$83</f>
        <v>7.7053159934647158E-3</v>
      </c>
      <c r="R20" s="1">
        <v>136.62</v>
      </c>
    </row>
    <row r="21" spans="1:18" x14ac:dyDescent="0.3">
      <c r="A21" s="1" t="s">
        <v>10</v>
      </c>
      <c r="B21" s="1">
        <v>21.38</v>
      </c>
      <c r="C21" s="1">
        <v>3.1</v>
      </c>
      <c r="D21" s="1">
        <v>3.1</v>
      </c>
      <c r="E21" s="4">
        <v>0</v>
      </c>
      <c r="F21" s="1">
        <v>2.14</v>
      </c>
      <c r="G21" s="1">
        <v>143.38999999999999</v>
      </c>
      <c r="H21" s="1">
        <v>80.650000000000006</v>
      </c>
      <c r="I21" s="1">
        <v>62.74</v>
      </c>
      <c r="J21" s="1">
        <v>105.88</v>
      </c>
      <c r="K21" s="4">
        <v>0</v>
      </c>
      <c r="L21" s="1">
        <v>0.28999999999999998</v>
      </c>
      <c r="M21" s="1">
        <v>10.66</v>
      </c>
      <c r="N21" s="1">
        <v>7.17</v>
      </c>
      <c r="O21" s="1">
        <v>294.01</v>
      </c>
      <c r="P21" s="1"/>
      <c r="Q21" s="1"/>
      <c r="R21" s="1"/>
    </row>
    <row r="22" spans="1:18" x14ac:dyDescent="0.3">
      <c r="A22" s="1" t="s">
        <v>18</v>
      </c>
      <c r="B22" s="4">
        <v>0</v>
      </c>
      <c r="C22" s="4">
        <v>0</v>
      </c>
      <c r="D22" s="4">
        <v>0</v>
      </c>
      <c r="E22" s="4">
        <v>0</v>
      </c>
      <c r="F22" s="4">
        <v>0</v>
      </c>
      <c r="G22" s="4">
        <v>0</v>
      </c>
      <c r="H22" s="4">
        <v>0</v>
      </c>
      <c r="I22" s="4">
        <v>0</v>
      </c>
      <c r="J22" s="4">
        <v>0</v>
      </c>
      <c r="K22" s="4">
        <v>0</v>
      </c>
      <c r="L22" s="4">
        <v>0</v>
      </c>
      <c r="M22" s="4">
        <v>0</v>
      </c>
      <c r="N22" s="1">
        <v>345.63</v>
      </c>
      <c r="O22" s="1">
        <v>345.63</v>
      </c>
      <c r="P22" s="8">
        <f>(O22-O23)/O23</f>
        <v>0.22781527531083479</v>
      </c>
      <c r="Q22" s="8">
        <f>O22/$O$83</f>
        <v>6.1844004524097473E-3</v>
      </c>
      <c r="R22" s="1">
        <v>64.13</v>
      </c>
    </row>
    <row r="23" spans="1:18" x14ac:dyDescent="0.3">
      <c r="A23" s="1" t="s">
        <v>10</v>
      </c>
      <c r="B23" s="4">
        <v>0</v>
      </c>
      <c r="C23" s="4">
        <v>0</v>
      </c>
      <c r="D23" s="4">
        <v>0</v>
      </c>
      <c r="E23" s="4">
        <v>0</v>
      </c>
      <c r="F23" s="4">
        <v>0</v>
      </c>
      <c r="G23" s="4">
        <v>0</v>
      </c>
      <c r="H23" s="4">
        <v>0</v>
      </c>
      <c r="I23" s="4">
        <v>0</v>
      </c>
      <c r="J23" s="4">
        <v>0</v>
      </c>
      <c r="K23" s="4">
        <v>0</v>
      </c>
      <c r="L23" s="4">
        <v>0</v>
      </c>
      <c r="M23" s="4">
        <v>0</v>
      </c>
      <c r="N23" s="1">
        <v>281.5</v>
      </c>
      <c r="O23" s="1">
        <v>281.5</v>
      </c>
      <c r="P23" s="1"/>
      <c r="Q23" s="1"/>
      <c r="R23" s="1"/>
    </row>
    <row r="24" spans="1:18" x14ac:dyDescent="0.3">
      <c r="A24" s="1" t="s">
        <v>19</v>
      </c>
      <c r="B24" s="1">
        <v>18.71</v>
      </c>
      <c r="C24" s="1">
        <v>5.62</v>
      </c>
      <c r="D24" s="1">
        <v>5.62</v>
      </c>
      <c r="E24" s="4">
        <v>0</v>
      </c>
      <c r="F24" s="1">
        <v>7.39</v>
      </c>
      <c r="G24" s="1">
        <v>249.23</v>
      </c>
      <c r="H24" s="1">
        <v>131.54</v>
      </c>
      <c r="I24" s="1">
        <v>117.68</v>
      </c>
      <c r="J24" s="1">
        <v>119.35</v>
      </c>
      <c r="K24" s="4">
        <v>0</v>
      </c>
      <c r="L24" s="1">
        <v>8.01</v>
      </c>
      <c r="M24" s="1">
        <v>4.45</v>
      </c>
      <c r="N24" s="1">
        <v>15.9</v>
      </c>
      <c r="O24" s="1">
        <v>428.65</v>
      </c>
      <c r="P24" s="8">
        <f>(O24-O25)/O25</f>
        <v>0.13670114028109243</v>
      </c>
      <c r="Q24" s="8">
        <f>O24/$O$83</f>
        <v>7.6698876079201407E-3</v>
      </c>
      <c r="R24" s="1">
        <v>51.55</v>
      </c>
    </row>
    <row r="25" spans="1:18" x14ac:dyDescent="0.3">
      <c r="A25" s="1" t="s">
        <v>10</v>
      </c>
      <c r="B25" s="1">
        <v>17.350000000000001</v>
      </c>
      <c r="C25" s="1">
        <v>6.36</v>
      </c>
      <c r="D25" s="1">
        <v>6.36</v>
      </c>
      <c r="E25" s="4">
        <v>0</v>
      </c>
      <c r="F25" s="1">
        <v>5.8</v>
      </c>
      <c r="G25" s="1">
        <v>259.60000000000002</v>
      </c>
      <c r="H25" s="1">
        <v>157.47</v>
      </c>
      <c r="I25" s="1">
        <v>102.13</v>
      </c>
      <c r="J25" s="1">
        <v>59.45</v>
      </c>
      <c r="K25" s="4">
        <v>0</v>
      </c>
      <c r="L25" s="1">
        <v>2.71</v>
      </c>
      <c r="M25" s="1">
        <v>4.57</v>
      </c>
      <c r="N25" s="1">
        <v>21.26</v>
      </c>
      <c r="O25" s="1">
        <v>377.1</v>
      </c>
      <c r="P25" s="1"/>
      <c r="Q25" s="1"/>
      <c r="R25" s="1"/>
    </row>
    <row r="26" spans="1:18" x14ac:dyDescent="0.3">
      <c r="A26" s="1" t="s">
        <v>20</v>
      </c>
      <c r="B26" s="1">
        <v>81.52</v>
      </c>
      <c r="C26" s="1">
        <v>5.93</v>
      </c>
      <c r="D26" s="1">
        <v>5.93</v>
      </c>
      <c r="E26" s="4">
        <v>0</v>
      </c>
      <c r="F26" s="1">
        <v>6.5</v>
      </c>
      <c r="G26" s="1">
        <v>328.99</v>
      </c>
      <c r="H26" s="1">
        <v>77.13</v>
      </c>
      <c r="I26" s="1">
        <v>251.86</v>
      </c>
      <c r="J26" s="1">
        <v>174.42</v>
      </c>
      <c r="K26" s="4">
        <v>0</v>
      </c>
      <c r="L26" s="1">
        <v>12.85</v>
      </c>
      <c r="M26" s="1">
        <v>15.01</v>
      </c>
      <c r="N26" s="1">
        <v>2.76</v>
      </c>
      <c r="O26" s="1">
        <v>627.98</v>
      </c>
      <c r="P26" s="8">
        <f>(O26-O27)/O27</f>
        <v>5.5251218282641561E-2</v>
      </c>
      <c r="Q26" s="8">
        <f>O26/$O$83</f>
        <v>1.1236524017314103E-2</v>
      </c>
      <c r="R26" s="1">
        <v>32.880000000000003</v>
      </c>
    </row>
    <row r="27" spans="1:18" x14ac:dyDescent="0.3">
      <c r="A27" s="1" t="s">
        <v>10</v>
      </c>
      <c r="B27" s="1">
        <v>68.89</v>
      </c>
      <c r="C27" s="1">
        <v>6.4</v>
      </c>
      <c r="D27" s="1">
        <v>6.4</v>
      </c>
      <c r="E27" s="4">
        <v>0</v>
      </c>
      <c r="F27" s="1">
        <v>1.99</v>
      </c>
      <c r="G27" s="1">
        <v>328.32</v>
      </c>
      <c r="H27" s="1">
        <v>109.16</v>
      </c>
      <c r="I27" s="1">
        <v>219.16</v>
      </c>
      <c r="J27" s="1">
        <v>163.08000000000001</v>
      </c>
      <c r="K27" s="4">
        <v>0</v>
      </c>
      <c r="L27" s="1">
        <v>18.670000000000002</v>
      </c>
      <c r="M27" s="1">
        <v>6.45</v>
      </c>
      <c r="N27" s="1">
        <v>1.3</v>
      </c>
      <c r="O27" s="1">
        <v>595.1</v>
      </c>
      <c r="P27" s="1"/>
      <c r="Q27" s="1"/>
      <c r="R27" s="1"/>
    </row>
    <row r="28" spans="1:18" x14ac:dyDescent="0.3">
      <c r="A28" s="1" t="s">
        <v>21</v>
      </c>
      <c r="B28" s="1">
        <v>422.74</v>
      </c>
      <c r="C28" s="1">
        <v>54.55</v>
      </c>
      <c r="D28" s="1">
        <v>25.78</v>
      </c>
      <c r="E28" s="1">
        <v>28.76</v>
      </c>
      <c r="F28" s="1">
        <v>86.57</v>
      </c>
      <c r="G28" s="1">
        <v>834.66</v>
      </c>
      <c r="H28" s="1">
        <v>263.02999999999997</v>
      </c>
      <c r="I28" s="1">
        <v>571.62</v>
      </c>
      <c r="J28" s="1">
        <v>969.34</v>
      </c>
      <c r="K28" s="1">
        <v>9.8000000000000007</v>
      </c>
      <c r="L28" s="1">
        <v>41.48</v>
      </c>
      <c r="M28" s="1">
        <v>42.78</v>
      </c>
      <c r="N28" s="1">
        <v>154.22</v>
      </c>
      <c r="O28" s="1">
        <v>2616.12</v>
      </c>
      <c r="P28" s="8">
        <f>(O28-O29)/O29</f>
        <v>0.10048164896413919</v>
      </c>
      <c r="Q28" s="8">
        <f>O28/$O$83</f>
        <v>4.6810559591349672E-2</v>
      </c>
      <c r="R28" s="1">
        <v>238.87</v>
      </c>
    </row>
    <row r="29" spans="1:18" x14ac:dyDescent="0.3">
      <c r="A29" s="1" t="s">
        <v>10</v>
      </c>
      <c r="B29" s="1">
        <v>317.79000000000002</v>
      </c>
      <c r="C29" s="1">
        <v>55.51</v>
      </c>
      <c r="D29" s="1">
        <v>27.44</v>
      </c>
      <c r="E29" s="1">
        <v>28.07</v>
      </c>
      <c r="F29" s="1">
        <v>72.599999999999994</v>
      </c>
      <c r="G29" s="1">
        <v>694.2</v>
      </c>
      <c r="H29" s="1">
        <v>220.93</v>
      </c>
      <c r="I29" s="1">
        <v>473.26</v>
      </c>
      <c r="J29" s="1">
        <v>981.5</v>
      </c>
      <c r="K29" s="1">
        <v>11.11</v>
      </c>
      <c r="L29" s="1">
        <v>46.63</v>
      </c>
      <c r="M29" s="1">
        <v>40.729999999999997</v>
      </c>
      <c r="N29" s="1">
        <v>157.19</v>
      </c>
      <c r="O29" s="1">
        <v>2377.25</v>
      </c>
      <c r="P29" s="1"/>
      <c r="Q29" s="1"/>
      <c r="R29" s="1"/>
    </row>
    <row r="30" spans="1:18" x14ac:dyDescent="0.3">
      <c r="A30" s="1" t="s">
        <v>22</v>
      </c>
      <c r="B30" s="1">
        <v>-0.1</v>
      </c>
      <c r="C30" s="4">
        <v>0</v>
      </c>
      <c r="D30" s="4">
        <v>0</v>
      </c>
      <c r="E30" s="4">
        <v>0</v>
      </c>
      <c r="F30" s="4">
        <v>0</v>
      </c>
      <c r="G30" s="1">
        <v>0.22</v>
      </c>
      <c r="H30" s="4">
        <v>0</v>
      </c>
      <c r="I30" s="1">
        <v>0.22</v>
      </c>
      <c r="J30" s="1">
        <v>27.63</v>
      </c>
      <c r="K30" s="4">
        <v>0</v>
      </c>
      <c r="L30" s="4">
        <v>0</v>
      </c>
      <c r="M30" s="1">
        <v>0.28999999999999998</v>
      </c>
      <c r="N30" s="4">
        <v>0</v>
      </c>
      <c r="O30" s="1">
        <v>28.04</v>
      </c>
      <c r="P30" s="8">
        <f>(O30-O31)/O31</f>
        <v>2.4111922141119222</v>
      </c>
      <c r="Q30" s="8">
        <f>O30/$O$83</f>
        <v>5.0172319730801523E-4</v>
      </c>
      <c r="R30" s="1">
        <v>19.82</v>
      </c>
    </row>
    <row r="31" spans="1:18" x14ac:dyDescent="0.3">
      <c r="A31" s="1" t="s">
        <v>10</v>
      </c>
      <c r="B31" s="1">
        <v>-0.15</v>
      </c>
      <c r="C31" s="4">
        <v>0</v>
      </c>
      <c r="D31" s="4">
        <v>0</v>
      </c>
      <c r="E31" s="4">
        <v>0</v>
      </c>
      <c r="F31" s="4">
        <v>0</v>
      </c>
      <c r="G31" s="1">
        <v>0.28999999999999998</v>
      </c>
      <c r="H31" s="4">
        <v>0</v>
      </c>
      <c r="I31" s="1">
        <v>0.28000000000000003</v>
      </c>
      <c r="J31" s="1">
        <v>8.1</v>
      </c>
      <c r="K31" s="4">
        <v>0</v>
      </c>
      <c r="L31" s="4">
        <v>0</v>
      </c>
      <c r="M31" s="1">
        <v>-0.01</v>
      </c>
      <c r="N31" s="4">
        <v>0</v>
      </c>
      <c r="O31" s="1">
        <v>8.2200000000000006</v>
      </c>
      <c r="P31" s="1"/>
      <c r="Q31" s="1"/>
      <c r="R31" s="1"/>
    </row>
    <row r="32" spans="1:18" x14ac:dyDescent="0.3">
      <c r="A32" s="1" t="s">
        <v>23</v>
      </c>
      <c r="B32" s="1">
        <v>3.38</v>
      </c>
      <c r="C32" s="1">
        <v>-0.09</v>
      </c>
      <c r="D32" s="1">
        <v>-0.09</v>
      </c>
      <c r="E32" s="4">
        <v>0</v>
      </c>
      <c r="F32" s="1">
        <v>0.17</v>
      </c>
      <c r="G32" s="1">
        <v>6.97</v>
      </c>
      <c r="H32" s="1">
        <v>4.05</v>
      </c>
      <c r="I32" s="1">
        <v>2.92</v>
      </c>
      <c r="J32" s="1">
        <v>1.1399999999999999</v>
      </c>
      <c r="K32" s="4">
        <v>0</v>
      </c>
      <c r="L32" s="1">
        <v>18.41</v>
      </c>
      <c r="M32" s="1">
        <v>0.17</v>
      </c>
      <c r="N32" s="1">
        <v>0.03</v>
      </c>
      <c r="O32" s="1">
        <v>30.18</v>
      </c>
      <c r="P32" s="8">
        <f>(O32-O33)/O33</f>
        <v>-0.60121564482029599</v>
      </c>
      <c r="Q32" s="8">
        <f>O32/$O$83</f>
        <v>5.4001448269457562E-4</v>
      </c>
      <c r="R32" s="1">
        <v>-45.5</v>
      </c>
    </row>
    <row r="33" spans="1:18" x14ac:dyDescent="0.3">
      <c r="A33" s="1" t="s">
        <v>10</v>
      </c>
      <c r="B33" s="1">
        <v>3.16</v>
      </c>
      <c r="C33" s="1">
        <v>0.04</v>
      </c>
      <c r="D33" s="1">
        <v>0.04</v>
      </c>
      <c r="E33" s="4">
        <v>0</v>
      </c>
      <c r="F33" s="1">
        <v>0.2</v>
      </c>
      <c r="G33" s="1">
        <v>52.93</v>
      </c>
      <c r="H33" s="1">
        <v>17.11</v>
      </c>
      <c r="I33" s="1">
        <v>35.83</v>
      </c>
      <c r="J33" s="1">
        <v>7.86</v>
      </c>
      <c r="K33" s="4">
        <v>0</v>
      </c>
      <c r="L33" s="1">
        <v>11.34</v>
      </c>
      <c r="M33" s="1">
        <v>0.11</v>
      </c>
      <c r="N33" s="1">
        <v>0.03</v>
      </c>
      <c r="O33" s="1">
        <v>75.680000000000007</v>
      </c>
      <c r="P33" s="1"/>
      <c r="Q33" s="1"/>
      <c r="R33" s="1"/>
    </row>
    <row r="34" spans="1:18" x14ac:dyDescent="0.3">
      <c r="A34" s="1" t="s">
        <v>24</v>
      </c>
      <c r="B34" s="1">
        <v>608.96</v>
      </c>
      <c r="C34" s="1">
        <v>44.75</v>
      </c>
      <c r="D34" s="1">
        <v>43.18</v>
      </c>
      <c r="E34" s="1">
        <v>1.57</v>
      </c>
      <c r="F34" s="1">
        <v>121.2</v>
      </c>
      <c r="G34" s="1">
        <v>620.96</v>
      </c>
      <c r="H34" s="1">
        <v>286.2</v>
      </c>
      <c r="I34" s="1">
        <v>334.76</v>
      </c>
      <c r="J34" s="1">
        <v>755.04</v>
      </c>
      <c r="K34" s="1">
        <v>0.3</v>
      </c>
      <c r="L34" s="1">
        <v>28.83</v>
      </c>
      <c r="M34" s="1">
        <v>67.06</v>
      </c>
      <c r="N34" s="1">
        <v>94.51</v>
      </c>
      <c r="O34" s="1">
        <v>2341.61</v>
      </c>
      <c r="P34" s="8">
        <f>(O34-O35)/O35</f>
        <v>5.9163835879157495E-2</v>
      </c>
      <c r="Q34" s="8">
        <f>O34/$O$83</f>
        <v>4.1898718118702633E-2</v>
      </c>
      <c r="R34" s="1">
        <v>130.80000000000001</v>
      </c>
    </row>
    <row r="35" spans="1:18" x14ac:dyDescent="0.3">
      <c r="A35" s="1" t="s">
        <v>10</v>
      </c>
      <c r="B35" s="1">
        <v>541.1</v>
      </c>
      <c r="C35" s="1">
        <v>47.78</v>
      </c>
      <c r="D35" s="1">
        <v>44.47</v>
      </c>
      <c r="E35" s="1">
        <v>3.31</v>
      </c>
      <c r="F35" s="1">
        <v>104.08</v>
      </c>
      <c r="G35" s="1">
        <v>663.56</v>
      </c>
      <c r="H35" s="1">
        <v>289.43</v>
      </c>
      <c r="I35" s="1">
        <v>374.13</v>
      </c>
      <c r="J35" s="1">
        <v>510.83</v>
      </c>
      <c r="K35" s="1">
        <v>11.64</v>
      </c>
      <c r="L35" s="1">
        <v>20.57</v>
      </c>
      <c r="M35" s="1">
        <v>49.44</v>
      </c>
      <c r="N35" s="1">
        <v>261.81</v>
      </c>
      <c r="O35" s="1">
        <v>2210.81</v>
      </c>
      <c r="P35" s="1"/>
      <c r="Q35" s="1"/>
      <c r="R35" s="1"/>
    </row>
    <row r="36" spans="1:18" x14ac:dyDescent="0.3">
      <c r="A36" s="1" t="s">
        <v>25</v>
      </c>
      <c r="B36" s="1">
        <v>141.09</v>
      </c>
      <c r="C36" s="1">
        <v>17.329999999999998</v>
      </c>
      <c r="D36" s="1">
        <v>17.329999999999998</v>
      </c>
      <c r="E36" s="4">
        <v>0</v>
      </c>
      <c r="F36" s="1">
        <v>13.06</v>
      </c>
      <c r="G36" s="1">
        <v>361.76</v>
      </c>
      <c r="H36" s="1">
        <v>134.15</v>
      </c>
      <c r="I36" s="1">
        <v>227.61</v>
      </c>
      <c r="J36" s="1">
        <v>278.54000000000002</v>
      </c>
      <c r="K36" s="4">
        <v>0</v>
      </c>
      <c r="L36" s="1">
        <v>4.09</v>
      </c>
      <c r="M36" s="1">
        <v>12.79</v>
      </c>
      <c r="N36" s="1">
        <v>4.21</v>
      </c>
      <c r="O36" s="1">
        <v>832.87</v>
      </c>
      <c r="P36" s="8">
        <f>(O36-O37)/O37</f>
        <v>0.18167759144178647</v>
      </c>
      <c r="Q36" s="8">
        <f>O36/$O$83</f>
        <v>1.4902646196217072E-2</v>
      </c>
      <c r="R36" s="1">
        <v>128.05000000000001</v>
      </c>
    </row>
    <row r="37" spans="1:18" x14ac:dyDescent="0.3">
      <c r="A37" s="1" t="s">
        <v>10</v>
      </c>
      <c r="B37" s="1">
        <v>115.47</v>
      </c>
      <c r="C37" s="1">
        <v>13.99</v>
      </c>
      <c r="D37" s="1">
        <v>13.99</v>
      </c>
      <c r="E37" s="4">
        <v>0</v>
      </c>
      <c r="F37" s="1">
        <v>13.53</v>
      </c>
      <c r="G37" s="1">
        <v>370.87</v>
      </c>
      <c r="H37" s="1">
        <v>111.15</v>
      </c>
      <c r="I37" s="1">
        <v>259.72000000000003</v>
      </c>
      <c r="J37" s="1">
        <v>170.75</v>
      </c>
      <c r="K37" s="4">
        <v>0</v>
      </c>
      <c r="L37" s="1">
        <v>2.84</v>
      </c>
      <c r="M37" s="1">
        <v>13.07</v>
      </c>
      <c r="N37" s="1">
        <v>4.3</v>
      </c>
      <c r="O37" s="1">
        <v>704.82</v>
      </c>
      <c r="P37" s="1"/>
      <c r="Q37" s="1"/>
      <c r="R37" s="1"/>
    </row>
    <row r="38" spans="1:18" x14ac:dyDescent="0.3">
      <c r="A38" s="1" t="s">
        <v>26</v>
      </c>
      <c r="B38" s="1">
        <v>463.34</v>
      </c>
      <c r="C38" s="1">
        <v>28.92</v>
      </c>
      <c r="D38" s="1">
        <v>28.92</v>
      </c>
      <c r="E38" s="4">
        <v>0</v>
      </c>
      <c r="F38" s="1">
        <v>30.15</v>
      </c>
      <c r="G38" s="1">
        <v>761.42</v>
      </c>
      <c r="H38" s="1">
        <v>366.34</v>
      </c>
      <c r="I38" s="1">
        <v>395.08</v>
      </c>
      <c r="J38" s="1">
        <v>626.91</v>
      </c>
      <c r="K38" s="1">
        <v>0.04</v>
      </c>
      <c r="L38" s="1">
        <v>27.23</v>
      </c>
      <c r="M38" s="1">
        <v>194.27</v>
      </c>
      <c r="N38" s="1">
        <v>46.43</v>
      </c>
      <c r="O38" s="1">
        <v>2178.71</v>
      </c>
      <c r="P38" s="8">
        <f>(O38-O39)/O39</f>
        <v>0.28649034856187966</v>
      </c>
      <c r="Q38" s="8">
        <f>O38/$O$83</f>
        <v>3.8983928217080813E-2</v>
      </c>
      <c r="R38" s="1">
        <v>485.18</v>
      </c>
    </row>
    <row r="39" spans="1:18" x14ac:dyDescent="0.3">
      <c r="A39" s="1" t="s">
        <v>10</v>
      </c>
      <c r="B39" s="1">
        <v>415.13</v>
      </c>
      <c r="C39" s="1">
        <v>25.96</v>
      </c>
      <c r="D39" s="1">
        <v>25.96</v>
      </c>
      <c r="E39" s="4">
        <v>0</v>
      </c>
      <c r="F39" s="1">
        <v>25.2</v>
      </c>
      <c r="G39" s="1">
        <v>625.39</v>
      </c>
      <c r="H39" s="1">
        <v>290.76</v>
      </c>
      <c r="I39" s="1">
        <v>334.63</v>
      </c>
      <c r="J39" s="1">
        <v>395.36</v>
      </c>
      <c r="K39" s="1">
        <v>0.04</v>
      </c>
      <c r="L39" s="1">
        <v>17.420000000000002</v>
      </c>
      <c r="M39" s="1">
        <v>135.27000000000001</v>
      </c>
      <c r="N39" s="1">
        <v>53.76</v>
      </c>
      <c r="O39" s="1">
        <v>1693.53</v>
      </c>
      <c r="P39" s="1"/>
      <c r="Q39" s="1"/>
      <c r="R39" s="1"/>
    </row>
    <row r="40" spans="1:18" x14ac:dyDescent="0.3">
      <c r="A40" s="1" t="s">
        <v>27</v>
      </c>
      <c r="B40" s="1">
        <v>25.24</v>
      </c>
      <c r="C40" s="1">
        <v>0.62</v>
      </c>
      <c r="D40" s="1">
        <v>0.62</v>
      </c>
      <c r="E40" s="4">
        <v>0</v>
      </c>
      <c r="F40" s="1">
        <v>4.1500000000000004</v>
      </c>
      <c r="G40" s="1">
        <v>551.1</v>
      </c>
      <c r="H40" s="1">
        <v>127.7</v>
      </c>
      <c r="I40" s="1">
        <v>423.39</v>
      </c>
      <c r="J40" s="1">
        <v>1.43</v>
      </c>
      <c r="K40" s="4">
        <v>0</v>
      </c>
      <c r="L40" s="1">
        <v>1.8</v>
      </c>
      <c r="M40" s="1">
        <v>19.64</v>
      </c>
      <c r="N40" s="1">
        <v>9.66</v>
      </c>
      <c r="O40" s="1">
        <v>613.63</v>
      </c>
      <c r="P40" s="8">
        <f>(O40-O41)/O41</f>
        <v>0.31249331593694529</v>
      </c>
      <c r="Q40" s="8">
        <f>O40/$O$83</f>
        <v>1.0979757687736E-2</v>
      </c>
      <c r="R40" s="1">
        <v>146.1</v>
      </c>
    </row>
    <row r="41" spans="1:18" x14ac:dyDescent="0.3">
      <c r="A41" s="1" t="s">
        <v>10</v>
      </c>
      <c r="B41" s="1">
        <v>21.24</v>
      </c>
      <c r="C41" s="1">
        <v>0.37</v>
      </c>
      <c r="D41" s="1">
        <v>0.37</v>
      </c>
      <c r="E41" s="4">
        <v>0</v>
      </c>
      <c r="F41" s="1">
        <v>4.2</v>
      </c>
      <c r="G41" s="1">
        <v>418.86</v>
      </c>
      <c r="H41" s="1">
        <v>97.57</v>
      </c>
      <c r="I41" s="1">
        <v>321.29000000000002</v>
      </c>
      <c r="J41" s="1">
        <v>0.45</v>
      </c>
      <c r="K41" s="4">
        <v>0</v>
      </c>
      <c r="L41" s="1">
        <v>1.62</v>
      </c>
      <c r="M41" s="1">
        <v>17.829999999999998</v>
      </c>
      <c r="N41" s="1">
        <v>2.96</v>
      </c>
      <c r="O41" s="1">
        <v>467.53</v>
      </c>
      <c r="P41" s="1"/>
      <c r="Q41" s="1"/>
      <c r="R41" s="1"/>
    </row>
    <row r="42" spans="1:18" x14ac:dyDescent="0.3">
      <c r="A42" s="1" t="s">
        <v>28</v>
      </c>
      <c r="B42" s="1">
        <v>675.82</v>
      </c>
      <c r="C42" s="1">
        <v>171.53</v>
      </c>
      <c r="D42" s="1">
        <v>169.63</v>
      </c>
      <c r="E42" s="1">
        <v>1.9</v>
      </c>
      <c r="F42" s="1">
        <v>52.8</v>
      </c>
      <c r="G42" s="1">
        <v>1363.58</v>
      </c>
      <c r="H42" s="1">
        <v>638.15</v>
      </c>
      <c r="I42" s="1">
        <v>725.43</v>
      </c>
      <c r="J42" s="1">
        <v>723.57</v>
      </c>
      <c r="K42" s="1">
        <v>32.81</v>
      </c>
      <c r="L42" s="1">
        <v>247.67</v>
      </c>
      <c r="M42" s="1">
        <v>37.299999999999997</v>
      </c>
      <c r="N42" s="1">
        <v>185.28</v>
      </c>
      <c r="O42" s="1">
        <v>3490.36</v>
      </c>
      <c r="P42" s="8">
        <f>(O42-O43)/O43</f>
        <v>0.16126241823759185</v>
      </c>
      <c r="Q42" s="8">
        <f>O42/$O$83</f>
        <v>6.2453444327960211E-2</v>
      </c>
      <c r="R42" s="1">
        <v>484.7</v>
      </c>
    </row>
    <row r="43" spans="1:18" x14ac:dyDescent="0.3">
      <c r="A43" s="1" t="s">
        <v>10</v>
      </c>
      <c r="B43" s="1">
        <v>720.43</v>
      </c>
      <c r="C43" s="1">
        <v>159.13999999999999</v>
      </c>
      <c r="D43" s="1">
        <v>159.74</v>
      </c>
      <c r="E43" s="1">
        <v>-0.6</v>
      </c>
      <c r="F43" s="1">
        <v>41.6</v>
      </c>
      <c r="G43" s="1">
        <v>1188.56</v>
      </c>
      <c r="H43" s="1">
        <v>535.71</v>
      </c>
      <c r="I43" s="1">
        <v>652.85</v>
      </c>
      <c r="J43" s="1">
        <v>483.57</v>
      </c>
      <c r="K43" s="1">
        <v>29.5</v>
      </c>
      <c r="L43" s="1">
        <v>260.55</v>
      </c>
      <c r="M43" s="1">
        <v>32.979999999999997</v>
      </c>
      <c r="N43" s="1">
        <v>89.33</v>
      </c>
      <c r="O43" s="1">
        <v>3005.66</v>
      </c>
      <c r="P43" s="1"/>
      <c r="Q43" s="1"/>
      <c r="R43" s="1"/>
    </row>
    <row r="44" spans="1:18" x14ac:dyDescent="0.3">
      <c r="A44" s="1" t="s">
        <v>29</v>
      </c>
      <c r="B44" s="1">
        <v>1489.31</v>
      </c>
      <c r="C44" s="1">
        <v>214.58</v>
      </c>
      <c r="D44" s="1">
        <v>99.63</v>
      </c>
      <c r="E44" s="1">
        <v>114.95</v>
      </c>
      <c r="F44" s="1">
        <v>202.31</v>
      </c>
      <c r="G44" s="1">
        <v>1562.58</v>
      </c>
      <c r="H44" s="1">
        <v>586.34</v>
      </c>
      <c r="I44" s="1">
        <v>976.24</v>
      </c>
      <c r="J44" s="1">
        <v>4779.68</v>
      </c>
      <c r="K44" s="1">
        <v>74.8</v>
      </c>
      <c r="L44" s="1">
        <v>143.4</v>
      </c>
      <c r="M44" s="1">
        <v>99.64</v>
      </c>
      <c r="N44" s="1">
        <v>404.96</v>
      </c>
      <c r="O44" s="1">
        <v>8971.26</v>
      </c>
      <c r="P44" s="8">
        <f>(O44-O45)/O45</f>
        <v>0.17067079018966899</v>
      </c>
      <c r="Q44" s="8">
        <f>O44/$O$83</f>
        <v>0.16052386772758578</v>
      </c>
      <c r="R44" s="1">
        <v>1307.9100000000001</v>
      </c>
    </row>
    <row r="45" spans="1:18" x14ac:dyDescent="0.3">
      <c r="A45" s="1" t="s">
        <v>10</v>
      </c>
      <c r="B45" s="1">
        <v>1120.1400000000001</v>
      </c>
      <c r="C45" s="1">
        <v>181.4</v>
      </c>
      <c r="D45" s="1">
        <v>82.28</v>
      </c>
      <c r="E45" s="1">
        <v>99.12</v>
      </c>
      <c r="F45" s="1">
        <v>135.16</v>
      </c>
      <c r="G45" s="1">
        <v>1414.95</v>
      </c>
      <c r="H45" s="1">
        <v>499.99</v>
      </c>
      <c r="I45" s="1">
        <v>914.96</v>
      </c>
      <c r="J45" s="1">
        <v>4185.66</v>
      </c>
      <c r="K45" s="1">
        <v>59.28</v>
      </c>
      <c r="L45" s="1">
        <v>122.57</v>
      </c>
      <c r="M45" s="1">
        <v>81.400000000000006</v>
      </c>
      <c r="N45" s="1">
        <v>362.79</v>
      </c>
      <c r="O45" s="1">
        <v>7663.35</v>
      </c>
      <c r="P45" s="1"/>
      <c r="Q45" s="1"/>
      <c r="R45" s="1"/>
    </row>
    <row r="46" spans="1:18" x14ac:dyDescent="0.3">
      <c r="A46" s="1" t="s">
        <v>30</v>
      </c>
      <c r="B46" s="1">
        <v>522.04999999999995</v>
      </c>
      <c r="C46" s="1">
        <v>102.85</v>
      </c>
      <c r="D46" s="1">
        <v>49.98</v>
      </c>
      <c r="E46" s="1">
        <v>52.87</v>
      </c>
      <c r="F46" s="1">
        <v>83.1</v>
      </c>
      <c r="G46" s="1">
        <v>673.54</v>
      </c>
      <c r="H46" s="1">
        <v>219.85</v>
      </c>
      <c r="I46" s="1">
        <v>453.69</v>
      </c>
      <c r="J46" s="1">
        <v>1846.97</v>
      </c>
      <c r="K46" s="1">
        <v>12.42</v>
      </c>
      <c r="L46" s="1">
        <v>31.82</v>
      </c>
      <c r="M46" s="1">
        <v>750.12</v>
      </c>
      <c r="N46" s="1">
        <v>79.88</v>
      </c>
      <c r="O46" s="1">
        <v>4102.75</v>
      </c>
      <c r="P46" s="8">
        <f>(O46-O47)/O47</f>
        <v>0.25040001219084768</v>
      </c>
      <c r="Q46" s="8">
        <f>O46/$O$83</f>
        <v>7.341101454192081E-2</v>
      </c>
      <c r="R46" s="1">
        <v>821.6</v>
      </c>
    </row>
    <row r="47" spans="1:18" x14ac:dyDescent="0.3">
      <c r="A47" s="1" t="s">
        <v>10</v>
      </c>
      <c r="B47" s="1">
        <v>457.52</v>
      </c>
      <c r="C47" s="1">
        <v>94.64</v>
      </c>
      <c r="D47" s="1">
        <v>49.39</v>
      </c>
      <c r="E47" s="1">
        <v>45.25</v>
      </c>
      <c r="F47" s="1">
        <v>71.88</v>
      </c>
      <c r="G47" s="1">
        <v>628.72</v>
      </c>
      <c r="H47" s="1">
        <v>196.38</v>
      </c>
      <c r="I47" s="1">
        <v>432.34</v>
      </c>
      <c r="J47" s="1">
        <v>1527.76</v>
      </c>
      <c r="K47" s="1">
        <v>30.3</v>
      </c>
      <c r="L47" s="1">
        <v>24.47</v>
      </c>
      <c r="M47" s="1">
        <v>395.39</v>
      </c>
      <c r="N47" s="1">
        <v>50.47</v>
      </c>
      <c r="O47" s="1">
        <v>3281.15</v>
      </c>
      <c r="P47" s="1"/>
      <c r="Q47" s="1"/>
      <c r="R47" s="1"/>
    </row>
    <row r="48" spans="1:18" x14ac:dyDescent="0.3">
      <c r="A48" s="1" t="s">
        <v>31</v>
      </c>
      <c r="B48" s="1">
        <v>557.02</v>
      </c>
      <c r="C48" s="1">
        <v>65.099999999999994</v>
      </c>
      <c r="D48" s="1">
        <v>40.450000000000003</v>
      </c>
      <c r="E48" s="1">
        <v>24.65</v>
      </c>
      <c r="F48" s="1">
        <v>78.2</v>
      </c>
      <c r="G48" s="1">
        <v>1528.8</v>
      </c>
      <c r="H48" s="1">
        <v>345.15</v>
      </c>
      <c r="I48" s="1">
        <v>1183.6500000000001</v>
      </c>
      <c r="J48" s="1">
        <v>1442.67</v>
      </c>
      <c r="K48" s="1">
        <v>4.6500000000000004</v>
      </c>
      <c r="L48" s="1">
        <v>46.3</v>
      </c>
      <c r="M48" s="1">
        <v>74.38</v>
      </c>
      <c r="N48" s="1">
        <v>123.22</v>
      </c>
      <c r="O48" s="1">
        <v>3920.34</v>
      </c>
      <c r="P48" s="8">
        <f>(O48-O49)/O49</f>
        <v>5.3990837527422939E-2</v>
      </c>
      <c r="Q48" s="8">
        <f>O48/$O$83</f>
        <v>7.0147129790816859E-2</v>
      </c>
      <c r="R48" s="1">
        <v>200.82</v>
      </c>
    </row>
    <row r="49" spans="1:18" x14ac:dyDescent="0.3">
      <c r="A49" s="1" t="s">
        <v>10</v>
      </c>
      <c r="B49" s="1">
        <v>445.64</v>
      </c>
      <c r="C49" s="1">
        <v>66.95</v>
      </c>
      <c r="D49" s="1">
        <v>40.24</v>
      </c>
      <c r="E49" s="1">
        <v>26.71</v>
      </c>
      <c r="F49" s="1">
        <v>74.430000000000007</v>
      </c>
      <c r="G49" s="1">
        <v>1120.3900000000001</v>
      </c>
      <c r="H49" s="1">
        <v>330.6</v>
      </c>
      <c r="I49" s="1">
        <v>789.79</v>
      </c>
      <c r="J49" s="1">
        <v>1777.51</v>
      </c>
      <c r="K49" s="1">
        <v>7.54</v>
      </c>
      <c r="L49" s="1">
        <v>49.89</v>
      </c>
      <c r="M49" s="1">
        <v>58.1</v>
      </c>
      <c r="N49" s="1">
        <v>119.07</v>
      </c>
      <c r="O49" s="1">
        <v>3719.52</v>
      </c>
      <c r="P49" s="1"/>
      <c r="Q49" s="1"/>
      <c r="R49" s="1"/>
    </row>
    <row r="50" spans="1:18" x14ac:dyDescent="0.3">
      <c r="A50" s="1" t="s">
        <v>32</v>
      </c>
      <c r="B50" s="1">
        <v>150.32</v>
      </c>
      <c r="C50" s="1">
        <v>16.72</v>
      </c>
      <c r="D50" s="1">
        <v>13.61</v>
      </c>
      <c r="E50" s="1">
        <v>3.11</v>
      </c>
      <c r="F50" s="1">
        <v>3.03</v>
      </c>
      <c r="G50" s="1">
        <v>370.92</v>
      </c>
      <c r="H50" s="1">
        <v>173.83</v>
      </c>
      <c r="I50" s="1">
        <v>197.09</v>
      </c>
      <c r="J50" s="1">
        <v>283.20999999999998</v>
      </c>
      <c r="K50" s="4">
        <v>0</v>
      </c>
      <c r="L50" s="1">
        <v>8.43</v>
      </c>
      <c r="M50" s="1">
        <v>59.17</v>
      </c>
      <c r="N50" s="1">
        <v>17.32</v>
      </c>
      <c r="O50" s="1">
        <v>909.12</v>
      </c>
      <c r="P50" s="8">
        <f>(O50-O51)/O51</f>
        <v>0.16120626891979925</v>
      </c>
      <c r="Q50" s="8">
        <f>O50/$O$83</f>
        <v>1.626699690216344E-2</v>
      </c>
      <c r="R50" s="1">
        <v>126.21</v>
      </c>
    </row>
    <row r="51" spans="1:18" x14ac:dyDescent="0.3">
      <c r="A51" s="1" t="s">
        <v>10</v>
      </c>
      <c r="B51" s="1">
        <v>106.79</v>
      </c>
      <c r="C51" s="1">
        <v>22.75</v>
      </c>
      <c r="D51" s="1">
        <v>19.55</v>
      </c>
      <c r="E51" s="1">
        <v>3.21</v>
      </c>
      <c r="F51" s="1">
        <v>2.4300000000000002</v>
      </c>
      <c r="G51" s="1">
        <v>348.87</v>
      </c>
      <c r="H51" s="1">
        <v>152.57</v>
      </c>
      <c r="I51" s="1">
        <v>196.3</v>
      </c>
      <c r="J51" s="1">
        <v>104.77</v>
      </c>
      <c r="K51" s="4">
        <v>0</v>
      </c>
      <c r="L51" s="1">
        <v>5.81</v>
      </c>
      <c r="M51" s="1">
        <v>51.93</v>
      </c>
      <c r="N51" s="1">
        <v>139.55000000000001</v>
      </c>
      <c r="O51" s="1">
        <v>782.91</v>
      </c>
      <c r="P51" s="1"/>
      <c r="Q51" s="1"/>
      <c r="R51" s="1"/>
    </row>
    <row r="52" spans="1:18" x14ac:dyDescent="0.3">
      <c r="A52" s="1" t="s">
        <v>33</v>
      </c>
      <c r="B52" s="1">
        <v>16.25</v>
      </c>
      <c r="C52" s="1">
        <v>0.43</v>
      </c>
      <c r="D52" s="1">
        <v>0.43</v>
      </c>
      <c r="E52" s="4">
        <v>0</v>
      </c>
      <c r="F52" s="1">
        <v>0.3</v>
      </c>
      <c r="G52" s="1">
        <v>82.35</v>
      </c>
      <c r="H52" s="1">
        <v>41.62</v>
      </c>
      <c r="I52" s="1">
        <v>40.729999999999997</v>
      </c>
      <c r="J52" s="1">
        <v>61.92</v>
      </c>
      <c r="K52" s="4">
        <v>0</v>
      </c>
      <c r="L52" s="4">
        <v>0</v>
      </c>
      <c r="M52" s="1">
        <v>2.21</v>
      </c>
      <c r="N52" s="1">
        <v>2.94</v>
      </c>
      <c r="O52" s="1">
        <v>166.4</v>
      </c>
      <c r="P52" s="8">
        <f>(O52-O53)/O53</f>
        <v>4.2933249764963925E-2</v>
      </c>
      <c r="Q52" s="8">
        <f>O52/$O$83</f>
        <v>2.9774158356652551E-3</v>
      </c>
      <c r="R52" s="1">
        <v>6.85</v>
      </c>
    </row>
    <row r="53" spans="1:18" x14ac:dyDescent="0.3">
      <c r="A53" s="1" t="s">
        <v>10</v>
      </c>
      <c r="B53" s="1">
        <v>15.35</v>
      </c>
      <c r="C53" s="1">
        <v>0.13</v>
      </c>
      <c r="D53" s="1">
        <v>0.13</v>
      </c>
      <c r="E53" s="4">
        <v>0</v>
      </c>
      <c r="F53" s="1">
        <v>1.03</v>
      </c>
      <c r="G53" s="1">
        <v>74.19</v>
      </c>
      <c r="H53" s="1">
        <v>40</v>
      </c>
      <c r="I53" s="1">
        <v>34.200000000000003</v>
      </c>
      <c r="J53" s="1">
        <v>61.29</v>
      </c>
      <c r="K53" s="4">
        <v>0</v>
      </c>
      <c r="L53" s="1">
        <v>0.02</v>
      </c>
      <c r="M53" s="1">
        <v>5.22</v>
      </c>
      <c r="N53" s="1">
        <v>2.31</v>
      </c>
      <c r="O53" s="1">
        <v>159.55000000000001</v>
      </c>
      <c r="P53" s="1"/>
      <c r="Q53" s="1"/>
      <c r="R53" s="1"/>
    </row>
    <row r="54" spans="1:18" x14ac:dyDescent="0.3">
      <c r="A54" s="3" t="s">
        <v>34</v>
      </c>
      <c r="B54" s="14">
        <f t="shared" ref="B54:O55" si="0">SUM(B4+B6+B8+B10+B12+B14+B16+B18+B20+B22+B24+B26+B28+B30+B32+B34+B36+B38+B40+B42+B44+B46+B48+B50+B52)</f>
        <v>9109.0299999999988</v>
      </c>
      <c r="C54" s="14">
        <f t="shared" si="0"/>
        <v>1303.9499999999998</v>
      </c>
      <c r="D54" s="14">
        <f t="shared" si="0"/>
        <v>1034.5299999999997</v>
      </c>
      <c r="E54" s="14">
        <f t="shared" si="0"/>
        <v>269.42</v>
      </c>
      <c r="F54" s="14">
        <f t="shared" si="0"/>
        <v>1207.7199999999998</v>
      </c>
      <c r="G54" s="14">
        <f t="shared" si="0"/>
        <v>15394.970000000001</v>
      </c>
      <c r="H54" s="14">
        <f t="shared" si="0"/>
        <v>6306.3799999999992</v>
      </c>
      <c r="I54" s="14">
        <f t="shared" si="0"/>
        <v>9088.57</v>
      </c>
      <c r="J54" s="14">
        <f t="shared" si="0"/>
        <v>17293.39</v>
      </c>
      <c r="K54" s="14">
        <f t="shared" si="0"/>
        <v>166.67000000000002</v>
      </c>
      <c r="L54" s="14">
        <f t="shared" si="0"/>
        <v>1382.19</v>
      </c>
      <c r="M54" s="14">
        <f t="shared" si="0"/>
        <v>1787.77</v>
      </c>
      <c r="N54" s="14">
        <f t="shared" si="0"/>
        <v>2203.63</v>
      </c>
      <c r="O54" s="14">
        <f t="shared" si="0"/>
        <v>49849.3</v>
      </c>
      <c r="P54" s="9">
        <f>(O54-O55)/O55</f>
        <v>0.10555136516996357</v>
      </c>
      <c r="Q54" s="9">
        <f>O54/$O$83</f>
        <v>0.89195970683189896</v>
      </c>
      <c r="R54" s="3">
        <v>4759.3100000000004</v>
      </c>
    </row>
    <row r="55" spans="1:18" x14ac:dyDescent="0.3">
      <c r="A55" s="1" t="s">
        <v>35</v>
      </c>
      <c r="B55" s="15">
        <f t="shared" si="0"/>
        <v>7828.760000000002</v>
      </c>
      <c r="C55" s="15">
        <f t="shared" si="0"/>
        <v>1234.6700000000003</v>
      </c>
      <c r="D55" s="15">
        <f t="shared" si="0"/>
        <v>987.13</v>
      </c>
      <c r="E55" s="15">
        <f t="shared" si="0"/>
        <v>247.56000000000003</v>
      </c>
      <c r="F55" s="15">
        <f t="shared" si="0"/>
        <v>973.63</v>
      </c>
      <c r="G55" s="15">
        <f t="shared" si="0"/>
        <v>14035.200000000003</v>
      </c>
      <c r="H55" s="15">
        <f t="shared" si="0"/>
        <v>5976.15</v>
      </c>
      <c r="I55" s="15">
        <f t="shared" si="0"/>
        <v>8059.0300000000007</v>
      </c>
      <c r="J55" s="15">
        <f t="shared" si="0"/>
        <v>15701.230000000001</v>
      </c>
      <c r="K55" s="15">
        <f t="shared" si="0"/>
        <v>192.71</v>
      </c>
      <c r="L55" s="15">
        <f t="shared" si="0"/>
        <v>1260.75</v>
      </c>
      <c r="M55" s="15">
        <f t="shared" si="0"/>
        <v>1494.8000000000002</v>
      </c>
      <c r="N55" s="15">
        <f t="shared" si="0"/>
        <v>2368.2400000000002</v>
      </c>
      <c r="O55" s="15">
        <f t="shared" si="0"/>
        <v>45089.99</v>
      </c>
      <c r="P55" s="1"/>
      <c r="Q55" s="1"/>
      <c r="R55" s="1"/>
    </row>
    <row r="56" spans="1:18" x14ac:dyDescent="0.3">
      <c r="A56" s="1" t="s">
        <v>36</v>
      </c>
      <c r="B56" s="6">
        <f t="shared" ref="B56:O56" si="1">(B54-B55)/B55</f>
        <v>0.16353419954117848</v>
      </c>
      <c r="C56" s="6">
        <f t="shared" si="1"/>
        <v>5.6112159524406929E-2</v>
      </c>
      <c r="D56" s="6">
        <f t="shared" si="1"/>
        <v>4.8017991551264523E-2</v>
      </c>
      <c r="E56" s="6">
        <f t="shared" si="1"/>
        <v>8.8301825820003163E-2</v>
      </c>
      <c r="F56" s="6">
        <f t="shared" si="1"/>
        <v>0.24043014286741349</v>
      </c>
      <c r="G56" s="6">
        <f t="shared" si="1"/>
        <v>9.688283743730039E-2</v>
      </c>
      <c r="H56" s="6">
        <f t="shared" si="1"/>
        <v>5.5257983819013846E-2</v>
      </c>
      <c r="I56" s="6">
        <f t="shared" si="1"/>
        <v>0.12774986567862373</v>
      </c>
      <c r="J56" s="6">
        <f t="shared" si="1"/>
        <v>0.10140352061590066</v>
      </c>
      <c r="K56" s="6">
        <f t="shared" si="1"/>
        <v>-0.13512531783508894</v>
      </c>
      <c r="L56" s="6">
        <f t="shared" si="1"/>
        <v>9.6323616894705574E-2</v>
      </c>
      <c r="M56" s="6">
        <f t="shared" si="1"/>
        <v>0.19599277495317083</v>
      </c>
      <c r="N56" s="6">
        <f t="shared" si="1"/>
        <v>-6.9507313447961405E-2</v>
      </c>
      <c r="O56" s="6">
        <f t="shared" si="1"/>
        <v>0.10555136516996357</v>
      </c>
      <c r="P56" s="1"/>
      <c r="Q56" s="1"/>
      <c r="R56" s="1"/>
    </row>
    <row r="57" spans="1:18" x14ac:dyDescent="0.3">
      <c r="A57" s="3" t="s">
        <v>37</v>
      </c>
      <c r="B57" s="1"/>
      <c r="C57" s="1"/>
      <c r="D57" s="1"/>
      <c r="E57" s="1"/>
      <c r="F57" s="1"/>
      <c r="G57" s="1"/>
      <c r="H57" s="1"/>
      <c r="I57" s="1"/>
      <c r="J57" s="1"/>
      <c r="K57" s="1"/>
      <c r="L57" s="1"/>
      <c r="M57" s="1"/>
      <c r="N57" s="1"/>
      <c r="O57" s="1"/>
      <c r="P57" s="1"/>
      <c r="Q57" s="1"/>
      <c r="R57" s="1"/>
    </row>
    <row r="58" spans="1:18" x14ac:dyDescent="0.3">
      <c r="A58" s="1" t="s">
        <v>72</v>
      </c>
      <c r="B58" s="4">
        <v>0</v>
      </c>
      <c r="C58" s="4">
        <v>0</v>
      </c>
      <c r="D58" s="4">
        <v>0</v>
      </c>
      <c r="E58" s="4">
        <v>0</v>
      </c>
      <c r="F58" s="4">
        <v>0</v>
      </c>
      <c r="G58" s="4">
        <v>0</v>
      </c>
      <c r="H58" s="4">
        <v>0</v>
      </c>
      <c r="I58" s="4">
        <v>0</v>
      </c>
      <c r="J58" s="1">
        <v>1021.73</v>
      </c>
      <c r="K58" s="4">
        <v>0</v>
      </c>
      <c r="L58" s="4">
        <v>0</v>
      </c>
      <c r="M58" s="1">
        <v>15.88</v>
      </c>
      <c r="N58" s="4">
        <v>0</v>
      </c>
      <c r="O58" s="1">
        <v>1037.6099999999999</v>
      </c>
      <c r="P58" s="8">
        <f>(O58-O59)/O59</f>
        <v>9.2508554882863803E-2</v>
      </c>
      <c r="Q58" s="8">
        <f>O58/$O$83</f>
        <v>1.8566084406518177E-2</v>
      </c>
      <c r="R58" s="1">
        <v>87.86</v>
      </c>
    </row>
    <row r="59" spans="1:18" x14ac:dyDescent="0.3">
      <c r="A59" s="1" t="s">
        <v>10</v>
      </c>
      <c r="B59" s="4">
        <v>0</v>
      </c>
      <c r="C59" s="4">
        <v>0</v>
      </c>
      <c r="D59" s="4">
        <v>0</v>
      </c>
      <c r="E59" s="4">
        <v>0</v>
      </c>
      <c r="F59" s="4">
        <v>0</v>
      </c>
      <c r="G59" s="4">
        <v>0</v>
      </c>
      <c r="H59" s="4">
        <v>0</v>
      </c>
      <c r="I59" s="4">
        <v>0</v>
      </c>
      <c r="J59" s="1">
        <v>932.11</v>
      </c>
      <c r="K59" s="4">
        <v>0</v>
      </c>
      <c r="L59" s="4">
        <v>0</v>
      </c>
      <c r="M59" s="1">
        <v>17.64</v>
      </c>
      <c r="N59" s="4">
        <v>0</v>
      </c>
      <c r="O59" s="1">
        <v>949.75</v>
      </c>
      <c r="P59" s="1"/>
      <c r="Q59" s="1"/>
      <c r="R59" s="1"/>
    </row>
    <row r="60" spans="1:18" x14ac:dyDescent="0.3">
      <c r="A60" s="1" t="s">
        <v>38</v>
      </c>
      <c r="B60" s="4">
        <v>0</v>
      </c>
      <c r="C60" s="4">
        <v>0</v>
      </c>
      <c r="D60" s="4">
        <v>0</v>
      </c>
      <c r="E60" s="4">
        <v>0</v>
      </c>
      <c r="F60" s="4">
        <v>0</v>
      </c>
      <c r="G60" s="4">
        <v>0</v>
      </c>
      <c r="H60" s="4">
        <v>0</v>
      </c>
      <c r="I60" s="4">
        <v>0</v>
      </c>
      <c r="J60" s="1">
        <v>760.86</v>
      </c>
      <c r="K60" s="4">
        <v>0</v>
      </c>
      <c r="L60" s="4">
        <v>0</v>
      </c>
      <c r="M60" s="1">
        <v>23.77</v>
      </c>
      <c r="N60" s="4">
        <v>0</v>
      </c>
      <c r="O60" s="1">
        <v>784.63</v>
      </c>
      <c r="P60" s="8">
        <f>(O60-O61)/O61</f>
        <v>0.2820332668867031</v>
      </c>
      <c r="Q60" s="8">
        <f>O60/$O$83</f>
        <v>1.4039481893858346E-2</v>
      </c>
      <c r="R60" s="1">
        <v>172.61</v>
      </c>
    </row>
    <row r="61" spans="1:18" x14ac:dyDescent="0.3">
      <c r="A61" s="1" t="s">
        <v>10</v>
      </c>
      <c r="B61" s="4">
        <v>0</v>
      </c>
      <c r="C61" s="4">
        <v>0</v>
      </c>
      <c r="D61" s="4">
        <v>0</v>
      </c>
      <c r="E61" s="4">
        <v>0</v>
      </c>
      <c r="F61" s="4">
        <v>0</v>
      </c>
      <c r="G61" s="4">
        <v>0</v>
      </c>
      <c r="H61" s="4">
        <v>0</v>
      </c>
      <c r="I61" s="4">
        <v>0</v>
      </c>
      <c r="J61" s="1">
        <v>570.80999999999995</v>
      </c>
      <c r="K61" s="4">
        <v>0</v>
      </c>
      <c r="L61" s="4">
        <v>0</v>
      </c>
      <c r="M61" s="1">
        <v>41.21</v>
      </c>
      <c r="N61" s="4">
        <v>0</v>
      </c>
      <c r="O61" s="1">
        <v>612.02</v>
      </c>
      <c r="P61" s="1"/>
      <c r="Q61" s="1"/>
      <c r="R61" s="1"/>
    </row>
    <row r="62" spans="1:18" x14ac:dyDescent="0.3">
      <c r="A62" s="1" t="s">
        <v>39</v>
      </c>
      <c r="B62" s="4">
        <v>0</v>
      </c>
      <c r="C62" s="4">
        <v>0</v>
      </c>
      <c r="D62" s="4">
        <v>0</v>
      </c>
      <c r="E62" s="4">
        <v>0</v>
      </c>
      <c r="F62" s="4">
        <v>0</v>
      </c>
      <c r="G62" s="4">
        <v>0</v>
      </c>
      <c r="H62" s="4">
        <v>0</v>
      </c>
      <c r="I62" s="4">
        <v>0</v>
      </c>
      <c r="J62" s="1">
        <v>1340.21</v>
      </c>
      <c r="K62" s="4">
        <v>0</v>
      </c>
      <c r="L62" s="4">
        <v>0</v>
      </c>
      <c r="M62" s="1">
        <v>28.98</v>
      </c>
      <c r="N62" s="4">
        <v>0</v>
      </c>
      <c r="O62" s="1">
        <v>1369.19</v>
      </c>
      <c r="P62" s="8">
        <f>(O62-O63)/O63</f>
        <v>7.1093866120111801E-2</v>
      </c>
      <c r="Q62" s="8">
        <f>O62/$O$83</f>
        <v>2.4499086466553549E-2</v>
      </c>
      <c r="R62" s="1">
        <v>90.88</v>
      </c>
    </row>
    <row r="63" spans="1:18" x14ac:dyDescent="0.3">
      <c r="A63" s="1" t="s">
        <v>10</v>
      </c>
      <c r="B63" s="4">
        <v>0</v>
      </c>
      <c r="C63" s="4">
        <v>0</v>
      </c>
      <c r="D63" s="4">
        <v>0</v>
      </c>
      <c r="E63" s="4">
        <v>0</v>
      </c>
      <c r="F63" s="4">
        <v>0</v>
      </c>
      <c r="G63" s="4">
        <v>0</v>
      </c>
      <c r="H63" s="4">
        <v>0</v>
      </c>
      <c r="I63" s="4">
        <v>0</v>
      </c>
      <c r="J63" s="1">
        <v>1250.25</v>
      </c>
      <c r="K63" s="4">
        <v>0</v>
      </c>
      <c r="L63" s="4">
        <v>0</v>
      </c>
      <c r="M63" s="1">
        <v>28.06</v>
      </c>
      <c r="N63" s="4">
        <v>0</v>
      </c>
      <c r="O63" s="1">
        <v>1278.31</v>
      </c>
      <c r="P63" s="1"/>
      <c r="Q63" s="1"/>
      <c r="R63" s="1"/>
    </row>
    <row r="64" spans="1:18" x14ac:dyDescent="0.3">
      <c r="A64" s="1" t="s">
        <v>40</v>
      </c>
      <c r="B64" s="4">
        <v>0</v>
      </c>
      <c r="C64" s="4">
        <v>0</v>
      </c>
      <c r="D64" s="4">
        <v>0</v>
      </c>
      <c r="E64" s="4">
        <v>0</v>
      </c>
      <c r="F64" s="4">
        <v>0</v>
      </c>
      <c r="G64" s="4">
        <v>0</v>
      </c>
      <c r="H64" s="4">
        <v>0</v>
      </c>
      <c r="I64" s="4">
        <v>0</v>
      </c>
      <c r="J64" s="1">
        <v>7.09</v>
      </c>
      <c r="K64" s="4">
        <v>0</v>
      </c>
      <c r="L64" s="4">
        <v>0</v>
      </c>
      <c r="M64" s="1">
        <v>0.62</v>
      </c>
      <c r="N64" s="4">
        <v>0</v>
      </c>
      <c r="O64" s="1">
        <v>7.71</v>
      </c>
      <c r="P64" s="4">
        <v>0</v>
      </c>
      <c r="Q64" s="8">
        <f>O64/$O$83</f>
        <v>1.3795598613569178E-4</v>
      </c>
      <c r="R64" s="1">
        <v>7.71</v>
      </c>
    </row>
    <row r="65" spans="1:18" x14ac:dyDescent="0.3">
      <c r="A65" s="1" t="s">
        <v>10</v>
      </c>
      <c r="B65" s="4">
        <v>0</v>
      </c>
      <c r="C65" s="4">
        <v>0</v>
      </c>
      <c r="D65" s="4">
        <v>0</v>
      </c>
      <c r="E65" s="4">
        <v>0</v>
      </c>
      <c r="F65" s="4">
        <v>0</v>
      </c>
      <c r="G65" s="4">
        <v>0</v>
      </c>
      <c r="H65" s="4">
        <v>0</v>
      </c>
      <c r="I65" s="4">
        <v>0</v>
      </c>
      <c r="J65" s="4">
        <v>0</v>
      </c>
      <c r="K65" s="4">
        <v>0</v>
      </c>
      <c r="L65" s="4">
        <v>0</v>
      </c>
      <c r="M65" s="4">
        <v>0</v>
      </c>
      <c r="N65" s="4">
        <v>0</v>
      </c>
      <c r="O65" s="4">
        <v>0</v>
      </c>
      <c r="P65" s="4"/>
      <c r="Q65" s="4"/>
      <c r="R65" s="4"/>
    </row>
    <row r="66" spans="1:18" x14ac:dyDescent="0.3">
      <c r="A66" s="1" t="s">
        <v>41</v>
      </c>
      <c r="B66" s="4">
        <v>0</v>
      </c>
      <c r="C66" s="4">
        <v>0</v>
      </c>
      <c r="D66" s="4">
        <v>0</v>
      </c>
      <c r="E66" s="4">
        <v>0</v>
      </c>
      <c r="F66" s="4">
        <v>0</v>
      </c>
      <c r="G66" s="4">
        <v>0</v>
      </c>
      <c r="H66" s="4">
        <v>0</v>
      </c>
      <c r="I66" s="4">
        <v>0</v>
      </c>
      <c r="J66" s="1">
        <v>347.82</v>
      </c>
      <c r="K66" s="4">
        <v>0</v>
      </c>
      <c r="L66" s="4">
        <v>0</v>
      </c>
      <c r="M66" s="1">
        <v>6.59</v>
      </c>
      <c r="N66" s="4">
        <v>0</v>
      </c>
      <c r="O66" s="1">
        <v>354.41</v>
      </c>
      <c r="P66" s="8">
        <f>(O66-O67)/O67</f>
        <v>0.26250356226845251</v>
      </c>
      <c r="Q66" s="8">
        <f>O66/$O$83</f>
        <v>6.3415020812387203E-3</v>
      </c>
      <c r="R66" s="1">
        <v>73.69</v>
      </c>
    </row>
    <row r="67" spans="1:18" x14ac:dyDescent="0.3">
      <c r="A67" s="1" t="s">
        <v>10</v>
      </c>
      <c r="B67" s="4">
        <v>0</v>
      </c>
      <c r="C67" s="4">
        <v>0</v>
      </c>
      <c r="D67" s="4">
        <v>0</v>
      </c>
      <c r="E67" s="4">
        <v>0</v>
      </c>
      <c r="F67" s="4">
        <v>0</v>
      </c>
      <c r="G67" s="4">
        <v>0</v>
      </c>
      <c r="H67" s="4">
        <v>0</v>
      </c>
      <c r="I67" s="4">
        <v>0</v>
      </c>
      <c r="J67" s="1">
        <v>276</v>
      </c>
      <c r="K67" s="4">
        <v>0</v>
      </c>
      <c r="L67" s="4">
        <v>0</v>
      </c>
      <c r="M67" s="1">
        <v>4.72</v>
      </c>
      <c r="N67" s="4">
        <v>0</v>
      </c>
      <c r="O67" s="1">
        <v>280.72000000000003</v>
      </c>
      <c r="P67" s="1"/>
      <c r="Q67" s="1"/>
      <c r="R67" s="1"/>
    </row>
    <row r="68" spans="1:18" x14ac:dyDescent="0.3">
      <c r="A68" s="1" t="s">
        <v>42</v>
      </c>
      <c r="B68" s="4">
        <v>0</v>
      </c>
      <c r="C68" s="4">
        <v>0</v>
      </c>
      <c r="D68" s="4">
        <v>0</v>
      </c>
      <c r="E68" s="4">
        <v>0</v>
      </c>
      <c r="F68" s="4">
        <v>0</v>
      </c>
      <c r="G68" s="4">
        <v>0</v>
      </c>
      <c r="H68" s="4">
        <v>0</v>
      </c>
      <c r="I68" s="4">
        <v>0</v>
      </c>
      <c r="J68" s="1">
        <v>1.19</v>
      </c>
      <c r="K68" s="4">
        <v>0</v>
      </c>
      <c r="L68" s="4">
        <v>0</v>
      </c>
      <c r="M68" s="4">
        <v>0</v>
      </c>
      <c r="N68" s="4">
        <v>0</v>
      </c>
      <c r="O68" s="1">
        <v>1.19</v>
      </c>
      <c r="P68" s="4">
        <v>0</v>
      </c>
      <c r="Q68" s="4">
        <v>0</v>
      </c>
      <c r="R68" s="1">
        <v>1.19</v>
      </c>
    </row>
    <row r="69" spans="1:18" x14ac:dyDescent="0.3">
      <c r="A69" s="1" t="s">
        <v>10</v>
      </c>
      <c r="B69" s="4">
        <v>0</v>
      </c>
      <c r="C69" s="4">
        <v>0</v>
      </c>
      <c r="D69" s="4">
        <v>0</v>
      </c>
      <c r="E69" s="4">
        <v>0</v>
      </c>
      <c r="F69" s="4">
        <v>0</v>
      </c>
      <c r="G69" s="4">
        <v>0</v>
      </c>
      <c r="H69" s="4">
        <v>0</v>
      </c>
      <c r="I69" s="4">
        <v>0</v>
      </c>
      <c r="J69" s="4">
        <v>0</v>
      </c>
      <c r="K69" s="4">
        <v>0</v>
      </c>
      <c r="L69" s="4">
        <v>0</v>
      </c>
      <c r="M69" s="4">
        <v>0</v>
      </c>
      <c r="N69" s="4">
        <v>0</v>
      </c>
      <c r="O69" s="4">
        <v>0</v>
      </c>
      <c r="P69" s="4"/>
      <c r="Q69" s="4"/>
      <c r="R69" s="4"/>
    </row>
    <row r="70" spans="1:18" x14ac:dyDescent="0.3">
      <c r="A70" s="1" t="s">
        <v>43</v>
      </c>
      <c r="B70" s="4">
        <v>0</v>
      </c>
      <c r="C70" s="4">
        <v>0</v>
      </c>
      <c r="D70" s="4">
        <v>0</v>
      </c>
      <c r="E70" s="4">
        <v>0</v>
      </c>
      <c r="F70" s="4">
        <v>0</v>
      </c>
      <c r="G70" s="4">
        <v>0</v>
      </c>
      <c r="H70" s="4">
        <v>0</v>
      </c>
      <c r="I70" s="4">
        <v>0</v>
      </c>
      <c r="J70" s="1">
        <v>2237.67</v>
      </c>
      <c r="K70" s="4">
        <v>0</v>
      </c>
      <c r="L70" s="4">
        <v>0</v>
      </c>
      <c r="M70" s="1">
        <v>21.53</v>
      </c>
      <c r="N70" s="1">
        <v>0.01</v>
      </c>
      <c r="O70" s="1">
        <v>2259.21</v>
      </c>
      <c r="P70" s="8">
        <f>(O70-O71)/O71</f>
        <v>3.9247616024729939E-2</v>
      </c>
      <c r="Q70" s="8">
        <f>O70/$O$83</f>
        <v>4.0424324700079929E-2</v>
      </c>
      <c r="R70" s="1">
        <v>85.32</v>
      </c>
    </row>
    <row r="71" spans="1:18" x14ac:dyDescent="0.3">
      <c r="A71" s="1" t="s">
        <v>10</v>
      </c>
      <c r="B71" s="4">
        <v>0</v>
      </c>
      <c r="C71" s="4">
        <v>0</v>
      </c>
      <c r="D71" s="4">
        <v>0</v>
      </c>
      <c r="E71" s="4">
        <v>0</v>
      </c>
      <c r="F71" s="4">
        <v>0</v>
      </c>
      <c r="G71" s="4">
        <v>0</v>
      </c>
      <c r="H71" s="4">
        <v>0</v>
      </c>
      <c r="I71" s="4">
        <v>0</v>
      </c>
      <c r="J71" s="1">
        <v>2150.4899999999998</v>
      </c>
      <c r="K71" s="4">
        <v>0</v>
      </c>
      <c r="L71" s="4">
        <v>0</v>
      </c>
      <c r="M71" s="1">
        <v>23.31</v>
      </c>
      <c r="N71" s="1">
        <v>0.09</v>
      </c>
      <c r="O71" s="1">
        <v>2173.89</v>
      </c>
      <c r="P71" s="1"/>
      <c r="Q71" s="1"/>
      <c r="R71" s="1"/>
    </row>
    <row r="72" spans="1:18" x14ac:dyDescent="0.3">
      <c r="A72" s="3" t="s">
        <v>44</v>
      </c>
      <c r="B72" s="5">
        <v>0</v>
      </c>
      <c r="C72" s="5">
        <v>0</v>
      </c>
      <c r="D72" s="5">
        <v>0</v>
      </c>
      <c r="E72" s="5">
        <v>0</v>
      </c>
      <c r="F72" s="5">
        <v>0</v>
      </c>
      <c r="G72" s="5">
        <v>0</v>
      </c>
      <c r="H72" s="5">
        <v>0</v>
      </c>
      <c r="I72" s="5">
        <v>0</v>
      </c>
      <c r="J72" s="3">
        <f>SUM(J58+J60+J62+J64+J66+J68+J70)</f>
        <v>5716.5700000000006</v>
      </c>
      <c r="K72" s="5">
        <v>0</v>
      </c>
      <c r="L72" s="5">
        <v>0</v>
      </c>
      <c r="M72" s="3">
        <f t="shared" ref="M72:O73" si="2">SUM(M58+M60+M62+M64+M66+M68+M70)</f>
        <v>97.37</v>
      </c>
      <c r="N72" s="3">
        <f t="shared" si="2"/>
        <v>0.01</v>
      </c>
      <c r="O72" s="3">
        <f t="shared" si="2"/>
        <v>5813.95</v>
      </c>
      <c r="P72" s="9">
        <f>(O72-O73)/O73</f>
        <v>9.8071841788659825E-2</v>
      </c>
      <c r="Q72" s="9">
        <f>O72/$O$83</f>
        <v>0.10402972835195917</v>
      </c>
      <c r="R72" s="3">
        <f>SUM(R58+R60+R62+R64+R66+R68+R70)</f>
        <v>519.26</v>
      </c>
    </row>
    <row r="73" spans="1:18" x14ac:dyDescent="0.3">
      <c r="A73" s="1" t="s">
        <v>35</v>
      </c>
      <c r="B73" s="12">
        <v>0</v>
      </c>
      <c r="C73" s="12">
        <v>0</v>
      </c>
      <c r="D73" s="12">
        <v>0</v>
      </c>
      <c r="E73" s="12">
        <v>0</v>
      </c>
      <c r="F73" s="12">
        <v>0</v>
      </c>
      <c r="G73" s="12">
        <v>0</v>
      </c>
      <c r="H73" s="12">
        <v>0</v>
      </c>
      <c r="I73" s="12">
        <v>0</v>
      </c>
      <c r="J73" s="1">
        <f>SUM(J59+J61+J63+J65+J67+J69+J71)</f>
        <v>5179.66</v>
      </c>
      <c r="K73" s="12">
        <v>0</v>
      </c>
      <c r="L73" s="12">
        <v>0</v>
      </c>
      <c r="M73" s="1">
        <f t="shared" si="2"/>
        <v>114.94</v>
      </c>
      <c r="N73" s="1">
        <f t="shared" si="2"/>
        <v>0.09</v>
      </c>
      <c r="O73" s="1">
        <f t="shared" si="2"/>
        <v>5294.6900000000005</v>
      </c>
      <c r="P73" s="1"/>
      <c r="Q73" s="3"/>
      <c r="R73" s="3"/>
    </row>
    <row r="74" spans="1:18" x14ac:dyDescent="0.3">
      <c r="A74" s="1" t="s">
        <v>36</v>
      </c>
      <c r="B74" s="4">
        <v>0</v>
      </c>
      <c r="C74" s="4">
        <v>0</v>
      </c>
      <c r="D74" s="4">
        <v>0</v>
      </c>
      <c r="E74" s="4">
        <v>0</v>
      </c>
      <c r="F74" s="4">
        <v>0</v>
      </c>
      <c r="G74" s="4">
        <v>0</v>
      </c>
      <c r="H74" s="4">
        <v>0</v>
      </c>
      <c r="I74" s="4">
        <v>0</v>
      </c>
      <c r="J74" s="6">
        <f>(J72-J73)/J73</f>
        <v>0.10365738291702559</v>
      </c>
      <c r="K74" s="4">
        <v>0</v>
      </c>
      <c r="L74" s="4">
        <v>0</v>
      </c>
      <c r="M74" s="6">
        <f>(M72-M73)/M73</f>
        <v>-0.15286236297198533</v>
      </c>
      <c r="N74" s="6">
        <f>(N72-N73)/N73</f>
        <v>-0.88888888888888895</v>
      </c>
      <c r="O74" s="6">
        <f>(O72-O73)/O73</f>
        <v>9.8071841788659825E-2</v>
      </c>
      <c r="P74" s="1"/>
      <c r="Q74" s="1"/>
      <c r="R74" s="1"/>
    </row>
    <row r="75" spans="1:18" x14ac:dyDescent="0.3">
      <c r="A75" s="3" t="s">
        <v>55</v>
      </c>
      <c r="B75" s="4"/>
      <c r="C75" s="4"/>
      <c r="D75" s="4"/>
      <c r="E75" s="4"/>
      <c r="F75" s="4"/>
      <c r="G75" s="4"/>
      <c r="H75" s="4"/>
      <c r="I75" s="4"/>
      <c r="J75" s="1"/>
      <c r="K75" s="4"/>
      <c r="L75" s="4"/>
      <c r="M75" s="1"/>
      <c r="N75" s="1"/>
      <c r="O75" s="1"/>
      <c r="P75" s="1"/>
      <c r="Q75" s="1"/>
      <c r="R75" s="1"/>
    </row>
    <row r="76" spans="1:18" x14ac:dyDescent="0.3">
      <c r="A76" s="1" t="s">
        <v>56</v>
      </c>
      <c r="B76" s="4">
        <v>0</v>
      </c>
      <c r="C76" s="4">
        <v>0</v>
      </c>
      <c r="D76" s="4">
        <v>0</v>
      </c>
      <c r="E76" s="4">
        <v>0</v>
      </c>
      <c r="F76" s="4">
        <v>0</v>
      </c>
      <c r="G76" s="4">
        <v>0</v>
      </c>
      <c r="H76" s="4">
        <v>0</v>
      </c>
      <c r="I76" s="4">
        <v>0</v>
      </c>
      <c r="J76" s="4">
        <v>0</v>
      </c>
      <c r="K76" s="4">
        <v>0</v>
      </c>
      <c r="L76" s="4">
        <v>0</v>
      </c>
      <c r="M76" s="1"/>
      <c r="N76" s="1">
        <v>27.88</v>
      </c>
      <c r="O76" s="1">
        <v>27.88</v>
      </c>
      <c r="P76" s="8">
        <f>(O76-O77)/O77</f>
        <v>1.3931330472103001</v>
      </c>
      <c r="Q76" s="8">
        <f>O76/$O$83</f>
        <v>4.9886029746602941E-4</v>
      </c>
      <c r="R76" s="1">
        <v>16.23</v>
      </c>
    </row>
    <row r="77" spans="1:18" x14ac:dyDescent="0.3">
      <c r="A77" s="1" t="s">
        <v>10</v>
      </c>
      <c r="B77" s="4">
        <v>0</v>
      </c>
      <c r="C77" s="4">
        <v>0</v>
      </c>
      <c r="D77" s="4">
        <v>0</v>
      </c>
      <c r="E77" s="4">
        <v>0</v>
      </c>
      <c r="F77" s="4">
        <v>0</v>
      </c>
      <c r="G77" s="4">
        <v>0</v>
      </c>
      <c r="H77" s="4">
        <v>0</v>
      </c>
      <c r="I77" s="4">
        <v>0</v>
      </c>
      <c r="J77" s="4">
        <v>0</v>
      </c>
      <c r="K77" s="4">
        <v>0</v>
      </c>
      <c r="L77" s="4">
        <v>0</v>
      </c>
      <c r="M77" s="1"/>
      <c r="N77" s="1">
        <v>11.65</v>
      </c>
      <c r="O77" s="1">
        <v>11.65</v>
      </c>
      <c r="P77" s="1"/>
      <c r="Q77" s="1"/>
      <c r="R77" s="1"/>
    </row>
    <row r="78" spans="1:18" x14ac:dyDescent="0.3">
      <c r="A78" s="1" t="s">
        <v>57</v>
      </c>
      <c r="B78" s="4">
        <v>0</v>
      </c>
      <c r="C78" s="4">
        <v>0</v>
      </c>
      <c r="D78" s="4">
        <v>0</v>
      </c>
      <c r="E78" s="4">
        <v>0</v>
      </c>
      <c r="F78" s="4">
        <v>0</v>
      </c>
      <c r="G78" s="4">
        <v>0</v>
      </c>
      <c r="H78" s="4">
        <v>0</v>
      </c>
      <c r="I78" s="4">
        <v>0</v>
      </c>
      <c r="J78" s="4">
        <v>0</v>
      </c>
      <c r="K78" s="4">
        <v>0</v>
      </c>
      <c r="L78" s="4">
        <v>0</v>
      </c>
      <c r="M78" s="1"/>
      <c r="N78" s="1">
        <v>196.26</v>
      </c>
      <c r="O78" s="1">
        <v>196.26</v>
      </c>
      <c r="P78" s="8">
        <f>(O78-O79)/O79</f>
        <v>2.9101777568035146E-2</v>
      </c>
      <c r="Q78" s="8">
        <f>O78/$O$83</f>
        <v>3.5117045186758584E-3</v>
      </c>
      <c r="R78" s="1">
        <v>5.55</v>
      </c>
    </row>
    <row r="79" spans="1:18" x14ac:dyDescent="0.3">
      <c r="A79" s="1" t="s">
        <v>10</v>
      </c>
      <c r="B79" s="4">
        <v>0</v>
      </c>
      <c r="C79" s="4">
        <v>0</v>
      </c>
      <c r="D79" s="4">
        <v>0</v>
      </c>
      <c r="E79" s="4">
        <v>0</v>
      </c>
      <c r="F79" s="4">
        <v>0</v>
      </c>
      <c r="G79" s="4">
        <v>0</v>
      </c>
      <c r="H79" s="4">
        <v>0</v>
      </c>
      <c r="I79" s="4">
        <v>0</v>
      </c>
      <c r="J79" s="4">
        <v>0</v>
      </c>
      <c r="K79" s="4">
        <v>0</v>
      </c>
      <c r="L79" s="4">
        <v>0</v>
      </c>
      <c r="M79" s="1"/>
      <c r="N79" s="1">
        <v>190.71</v>
      </c>
      <c r="O79" s="1">
        <v>190.71</v>
      </c>
      <c r="P79" s="1"/>
      <c r="Q79" s="1"/>
      <c r="R79" s="1"/>
    </row>
    <row r="80" spans="1:18" x14ac:dyDescent="0.3">
      <c r="A80" s="3" t="s">
        <v>58</v>
      </c>
      <c r="B80" s="5">
        <v>0</v>
      </c>
      <c r="C80" s="5">
        <v>0</v>
      </c>
      <c r="D80" s="5">
        <v>0</v>
      </c>
      <c r="E80" s="5">
        <v>0</v>
      </c>
      <c r="F80" s="5">
        <v>0</v>
      </c>
      <c r="G80" s="5">
        <v>0</v>
      </c>
      <c r="H80" s="5">
        <v>0</v>
      </c>
      <c r="I80" s="5">
        <v>0</v>
      </c>
      <c r="J80" s="5">
        <v>0</v>
      </c>
      <c r="K80" s="5">
        <v>0</v>
      </c>
      <c r="L80" s="5">
        <v>0</v>
      </c>
      <c r="M80" s="3"/>
      <c r="N80" s="3">
        <f>SUM(N76+N78)</f>
        <v>224.14</v>
      </c>
      <c r="O80" s="3">
        <f>SUM(O76+O78)</f>
        <v>224.14</v>
      </c>
      <c r="P80" s="9">
        <f>(O80-O81)/O81</f>
        <v>0.10762996639652091</v>
      </c>
      <c r="Q80" s="9">
        <f>O80/$O$83</f>
        <v>4.0105648161418879E-3</v>
      </c>
      <c r="R80" s="3">
        <f>SUM(R76+R78)</f>
        <v>21.78</v>
      </c>
    </row>
    <row r="81" spans="1:18" x14ac:dyDescent="0.3">
      <c r="A81" s="1" t="s">
        <v>35</v>
      </c>
      <c r="B81" s="4">
        <v>0</v>
      </c>
      <c r="C81" s="4">
        <v>0</v>
      </c>
      <c r="D81" s="4">
        <v>0</v>
      </c>
      <c r="E81" s="4">
        <v>0</v>
      </c>
      <c r="F81" s="4">
        <v>0</v>
      </c>
      <c r="G81" s="4">
        <v>0</v>
      </c>
      <c r="H81" s="4">
        <v>0</v>
      </c>
      <c r="I81" s="4">
        <v>0</v>
      </c>
      <c r="J81" s="4">
        <v>0</v>
      </c>
      <c r="K81" s="4">
        <v>0</v>
      </c>
      <c r="L81" s="4">
        <v>0</v>
      </c>
      <c r="M81" s="1"/>
      <c r="N81" s="1">
        <f>SUM(N77+N79)</f>
        <v>202.36</v>
      </c>
      <c r="O81" s="1">
        <f>SUM(O77+O79)</f>
        <v>202.36</v>
      </c>
      <c r="P81" s="1"/>
      <c r="Q81" s="1"/>
      <c r="R81" s="1"/>
    </row>
    <row r="82" spans="1:18" x14ac:dyDescent="0.3">
      <c r="A82" s="1" t="s">
        <v>36</v>
      </c>
      <c r="B82" s="4">
        <v>0</v>
      </c>
      <c r="C82" s="4">
        <v>0</v>
      </c>
      <c r="D82" s="4">
        <v>0</v>
      </c>
      <c r="E82" s="4">
        <v>0</v>
      </c>
      <c r="F82" s="4">
        <v>0</v>
      </c>
      <c r="G82" s="4">
        <v>0</v>
      </c>
      <c r="H82" s="4">
        <v>0</v>
      </c>
      <c r="I82" s="4">
        <v>0</v>
      </c>
      <c r="J82" s="1"/>
      <c r="K82" s="4">
        <v>0</v>
      </c>
      <c r="L82" s="4">
        <v>0</v>
      </c>
      <c r="M82" s="1"/>
      <c r="N82" s="6">
        <f>(N80-N81)/N81</f>
        <v>0.10762996639652091</v>
      </c>
      <c r="O82" s="6">
        <f>(O80-O81)/O81</f>
        <v>0.10762996639652091</v>
      </c>
      <c r="P82" s="1"/>
      <c r="Q82" s="1"/>
      <c r="R82" s="1"/>
    </row>
    <row r="83" spans="1:18" x14ac:dyDescent="0.3">
      <c r="A83" s="3" t="s">
        <v>45</v>
      </c>
      <c r="B83" s="7">
        <f t="shared" ref="B83:O84" si="3">SUM(B54+B72+B80)</f>
        <v>9109.0299999999988</v>
      </c>
      <c r="C83" s="7">
        <f t="shared" si="3"/>
        <v>1303.9499999999998</v>
      </c>
      <c r="D83" s="7">
        <f t="shared" si="3"/>
        <v>1034.5299999999997</v>
      </c>
      <c r="E83" s="7">
        <f t="shared" si="3"/>
        <v>269.42</v>
      </c>
      <c r="F83" s="7">
        <f t="shared" si="3"/>
        <v>1207.7199999999998</v>
      </c>
      <c r="G83" s="7">
        <f t="shared" si="3"/>
        <v>15394.970000000001</v>
      </c>
      <c r="H83" s="7">
        <f t="shared" si="3"/>
        <v>6306.3799999999992</v>
      </c>
      <c r="I83" s="7">
        <f t="shared" si="3"/>
        <v>9088.57</v>
      </c>
      <c r="J83" s="7">
        <f t="shared" si="3"/>
        <v>23009.96</v>
      </c>
      <c r="K83" s="7">
        <f t="shared" si="3"/>
        <v>166.67000000000002</v>
      </c>
      <c r="L83" s="7">
        <f t="shared" si="3"/>
        <v>1382.19</v>
      </c>
      <c r="M83" s="7">
        <f t="shared" si="3"/>
        <v>1885.1399999999999</v>
      </c>
      <c r="N83" s="7">
        <f t="shared" si="3"/>
        <v>2427.7800000000002</v>
      </c>
      <c r="O83" s="7">
        <f t="shared" si="3"/>
        <v>55887.39</v>
      </c>
      <c r="P83" s="9">
        <f>(O83-O84)/O84</f>
        <v>0.10477683612245346</v>
      </c>
      <c r="Q83" s="9">
        <f>O83/$O$83</f>
        <v>1</v>
      </c>
      <c r="R83" s="7">
        <f t="shared" ref="R83" si="4">SUM(R54+R72+R80)</f>
        <v>5300.35</v>
      </c>
    </row>
    <row r="84" spans="1:18" x14ac:dyDescent="0.3">
      <c r="A84" s="1" t="s">
        <v>35</v>
      </c>
      <c r="B84" s="10">
        <f t="shared" si="3"/>
        <v>7828.760000000002</v>
      </c>
      <c r="C84" s="10">
        <f t="shared" si="3"/>
        <v>1234.6700000000003</v>
      </c>
      <c r="D84" s="10">
        <f t="shared" si="3"/>
        <v>987.13</v>
      </c>
      <c r="E84" s="10">
        <f t="shared" si="3"/>
        <v>247.56000000000003</v>
      </c>
      <c r="F84" s="10">
        <f t="shared" si="3"/>
        <v>973.63</v>
      </c>
      <c r="G84" s="10">
        <f t="shared" si="3"/>
        <v>14035.200000000003</v>
      </c>
      <c r="H84" s="10">
        <f t="shared" si="3"/>
        <v>5976.15</v>
      </c>
      <c r="I84" s="10">
        <f t="shared" si="3"/>
        <v>8059.0300000000007</v>
      </c>
      <c r="J84" s="10">
        <f t="shared" si="3"/>
        <v>20880.89</v>
      </c>
      <c r="K84" s="10">
        <f t="shared" si="3"/>
        <v>192.71</v>
      </c>
      <c r="L84" s="10">
        <f t="shared" si="3"/>
        <v>1260.75</v>
      </c>
      <c r="M84" s="10">
        <f t="shared" si="3"/>
        <v>1609.7400000000002</v>
      </c>
      <c r="N84" s="10">
        <f t="shared" si="3"/>
        <v>2570.6900000000005</v>
      </c>
      <c r="O84" s="10">
        <f t="shared" si="3"/>
        <v>50587.040000000001</v>
      </c>
      <c r="P84" s="1"/>
      <c r="Q84" s="1"/>
      <c r="R84" s="1"/>
    </row>
    <row r="85" spans="1:18" x14ac:dyDescent="0.3">
      <c r="A85" s="1" t="s">
        <v>36</v>
      </c>
      <c r="B85" s="6">
        <f t="shared" ref="B85:O85" si="5">(B83-B84)/B84</f>
        <v>0.16353419954117848</v>
      </c>
      <c r="C85" s="6">
        <f t="shared" si="5"/>
        <v>5.6112159524406929E-2</v>
      </c>
      <c r="D85" s="6">
        <f t="shared" si="5"/>
        <v>4.8017991551264523E-2</v>
      </c>
      <c r="E85" s="6">
        <f t="shared" si="5"/>
        <v>8.8301825820003163E-2</v>
      </c>
      <c r="F85" s="6">
        <f t="shared" si="5"/>
        <v>0.24043014286741349</v>
      </c>
      <c r="G85" s="6">
        <f t="shared" si="5"/>
        <v>9.688283743730039E-2</v>
      </c>
      <c r="H85" s="6">
        <f t="shared" si="5"/>
        <v>5.5257983819013846E-2</v>
      </c>
      <c r="I85" s="6">
        <f t="shared" si="5"/>
        <v>0.12774986567862373</v>
      </c>
      <c r="J85" s="6">
        <f t="shared" si="5"/>
        <v>0.10196260791565875</v>
      </c>
      <c r="K85" s="6">
        <f t="shared" si="5"/>
        <v>-0.13512531783508894</v>
      </c>
      <c r="L85" s="6">
        <f t="shared" si="5"/>
        <v>9.6323616894705574E-2</v>
      </c>
      <c r="M85" s="6">
        <f t="shared" si="5"/>
        <v>0.1710835290171081</v>
      </c>
      <c r="N85" s="6">
        <f t="shared" si="5"/>
        <v>-5.5592078391404752E-2</v>
      </c>
      <c r="O85" s="6">
        <f t="shared" si="5"/>
        <v>0.10477683612245346</v>
      </c>
      <c r="P85" s="1"/>
      <c r="Q85" s="1"/>
      <c r="R85" s="1"/>
    </row>
    <row r="86" spans="1:18" x14ac:dyDescent="0.3">
      <c r="A86" s="1" t="s">
        <v>46</v>
      </c>
      <c r="B86" s="8">
        <f t="shared" ref="B86:O86" si="6">B83/$O$83</f>
        <v>0.16298900342277567</v>
      </c>
      <c r="C86" s="8">
        <f t="shared" si="6"/>
        <v>2.3331739055983826E-2</v>
      </c>
      <c r="D86" s="8">
        <f t="shared" si="6"/>
        <v>1.8510973584559949E-2</v>
      </c>
      <c r="E86" s="8">
        <f t="shared" si="6"/>
        <v>4.8207654714238759E-3</v>
      </c>
      <c r="F86" s="8">
        <f t="shared" si="6"/>
        <v>2.1609883732269478E-2</v>
      </c>
      <c r="G86" s="8">
        <f t="shared" si="6"/>
        <v>0.27546410737735294</v>
      </c>
      <c r="H86" s="8">
        <f t="shared" si="6"/>
        <v>0.11284083940939091</v>
      </c>
      <c r="I86" s="8">
        <f t="shared" si="6"/>
        <v>0.16262291010548174</v>
      </c>
      <c r="J86" s="8">
        <f t="shared" si="6"/>
        <v>0.41172006780062548</v>
      </c>
      <c r="K86" s="8">
        <f t="shared" si="6"/>
        <v>2.982246979148606E-3</v>
      </c>
      <c r="L86" s="8">
        <f t="shared" si="6"/>
        <v>2.4731697078714896E-2</v>
      </c>
      <c r="M86" s="8">
        <f t="shared" si="6"/>
        <v>3.3731043800757199E-2</v>
      </c>
      <c r="N86" s="8">
        <f t="shared" si="6"/>
        <v>4.3440568614852119E-2</v>
      </c>
      <c r="O86" s="8">
        <f t="shared" si="6"/>
        <v>1</v>
      </c>
      <c r="P86" s="1"/>
      <c r="Q86" s="1"/>
      <c r="R86" s="1"/>
    </row>
    <row r="87" spans="1:18" x14ac:dyDescent="0.3">
      <c r="A87" s="1" t="s">
        <v>47</v>
      </c>
      <c r="B87" s="8">
        <f t="shared" ref="B87:O87" si="7">B84/$O$84</f>
        <v>0.15475821475223697</v>
      </c>
      <c r="C87" s="8">
        <f t="shared" si="7"/>
        <v>2.440684412450304E-2</v>
      </c>
      <c r="D87" s="8">
        <f t="shared" si="7"/>
        <v>1.9513495946787952E-2</v>
      </c>
      <c r="E87" s="8">
        <f t="shared" si="7"/>
        <v>4.8937435358937789E-3</v>
      </c>
      <c r="F87" s="8">
        <f t="shared" si="7"/>
        <v>1.9246629176168442E-2</v>
      </c>
      <c r="G87" s="8">
        <f t="shared" si="7"/>
        <v>0.27744655548140396</v>
      </c>
      <c r="H87" s="8">
        <f t="shared" si="7"/>
        <v>0.11813598898057684</v>
      </c>
      <c r="I87" s="8">
        <f t="shared" si="7"/>
        <v>0.15931017114264839</v>
      </c>
      <c r="J87" s="8">
        <f t="shared" si="7"/>
        <v>0.41277153199712813</v>
      </c>
      <c r="K87" s="8">
        <f t="shared" si="7"/>
        <v>3.8094737308211747E-3</v>
      </c>
      <c r="L87" s="8">
        <f t="shared" si="7"/>
        <v>2.492239118952206E-2</v>
      </c>
      <c r="M87" s="8">
        <f t="shared" si="7"/>
        <v>3.1821193728670427E-2</v>
      </c>
      <c r="N87" s="8">
        <f t="shared" si="7"/>
        <v>5.0817165819545887E-2</v>
      </c>
      <c r="O87" s="8">
        <f t="shared" si="7"/>
        <v>1</v>
      </c>
      <c r="P87" s="1"/>
      <c r="Q87" s="1"/>
      <c r="R87" s="1"/>
    </row>
    <row r="89" spans="1:18" ht="36.6" customHeight="1" x14ac:dyDescent="0.3">
      <c r="A89" s="20" t="s">
        <v>76</v>
      </c>
      <c r="B89" s="21"/>
      <c r="C89" s="21"/>
      <c r="D89" s="21"/>
      <c r="E89" s="21"/>
      <c r="F89" s="21"/>
      <c r="G89" s="21"/>
      <c r="H89" s="21"/>
      <c r="I89" s="21"/>
      <c r="J89" s="21"/>
      <c r="K89" s="21"/>
      <c r="L89" s="21"/>
      <c r="M89" s="21"/>
      <c r="N89" s="21"/>
      <c r="O89" s="21"/>
      <c r="P89" s="21"/>
      <c r="Q89" s="21"/>
      <c r="R89" s="21"/>
    </row>
  </sheetData>
  <mergeCells count="2">
    <mergeCell ref="A1:R1"/>
    <mergeCell ref="A89:R8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Health Portfolio</vt:lpstr>
      <vt:lpstr>Liability Portfolio</vt:lpstr>
      <vt:lpstr>Miscellaneous portfolio</vt:lpstr>
      <vt:lpstr>Segmentwise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Sharad Taware</cp:lastModifiedBy>
  <dcterms:created xsi:type="dcterms:W3CDTF">2025-06-12T19:18:58Z</dcterms:created>
  <dcterms:modified xsi:type="dcterms:W3CDTF">2025-06-13T06:26:18Z</dcterms:modified>
</cp:coreProperties>
</file>